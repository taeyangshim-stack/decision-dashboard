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-24.04\home\qwe\works\decision-dashboard\ref\"/>
    </mc:Choice>
  </mc:AlternateContent>
  <bookViews>
    <workbookView xWindow="0" yWindow="0" windowWidth="23040" windowHeight="910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02" i="1" l="1"/>
  <c r="I1802" i="1"/>
  <c r="J1799" i="1"/>
  <c r="I1799" i="1"/>
  <c r="J1781" i="1"/>
  <c r="I1781" i="1"/>
  <c r="J1778" i="1"/>
  <c r="I1778" i="1"/>
  <c r="I1760" i="1"/>
  <c r="I1739" i="1"/>
  <c r="J1721" i="1"/>
  <c r="J1760" i="1"/>
  <c r="J1805" i="1" s="1"/>
  <c r="J1757" i="1"/>
  <c r="I1757" i="1"/>
  <c r="J1739" i="1"/>
  <c r="J1736" i="1"/>
  <c r="I1736" i="1"/>
  <c r="I1721" i="1"/>
  <c r="J1715" i="1"/>
  <c r="I1715" i="1"/>
  <c r="O1722" i="1"/>
  <c r="O1725" i="1" s="1"/>
  <c r="O1719" i="1"/>
  <c r="A1718" i="1"/>
  <c r="A1721" i="1" s="1"/>
  <c r="A1724" i="1" s="1"/>
  <c r="A1727" i="1" s="1"/>
  <c r="A1730" i="1" s="1"/>
  <c r="A1733" i="1" s="1"/>
  <c r="A1736" i="1" s="1"/>
  <c r="A1739" i="1" s="1"/>
  <c r="A1742" i="1" s="1"/>
  <c r="A1745" i="1" s="1"/>
  <c r="A1748" i="1" s="1"/>
  <c r="A1751" i="1" s="1"/>
  <c r="A1754" i="1" s="1"/>
  <c r="A1757" i="1" s="1"/>
  <c r="A1760" i="1" s="1"/>
  <c r="A1763" i="1" s="1"/>
  <c r="A1766" i="1" s="1"/>
  <c r="A1769" i="1" s="1"/>
  <c r="A1772" i="1" s="1"/>
  <c r="A1775" i="1" s="1"/>
  <c r="A1778" i="1" s="1"/>
  <c r="A1781" i="1" s="1"/>
  <c r="A1784" i="1" s="1"/>
  <c r="A1787" i="1" s="1"/>
  <c r="A1790" i="1" s="1"/>
  <c r="A1793" i="1" s="1"/>
  <c r="A1796" i="1" s="1"/>
  <c r="A1799" i="1" s="1"/>
  <c r="A1802" i="1" s="1"/>
  <c r="L1800" i="1"/>
  <c r="L1797" i="1"/>
  <c r="L1794" i="1"/>
  <c r="L1791" i="1"/>
  <c r="L1788" i="1"/>
  <c r="L1785" i="1"/>
  <c r="L1782" i="1"/>
  <c r="L1779" i="1"/>
  <c r="L1776" i="1"/>
  <c r="L1773" i="1"/>
  <c r="L1770" i="1"/>
  <c r="L1767" i="1"/>
  <c r="L1764" i="1"/>
  <c r="L1761" i="1"/>
  <c r="L1758" i="1"/>
  <c r="L1755" i="1"/>
  <c r="L1752" i="1"/>
  <c r="L1749" i="1"/>
  <c r="L1746" i="1"/>
  <c r="L1743" i="1"/>
  <c r="L1740" i="1"/>
  <c r="L1737" i="1"/>
  <c r="L1734" i="1"/>
  <c r="L1731" i="1"/>
  <c r="E1723" i="1"/>
  <c r="L1722" i="1"/>
  <c r="L1719" i="1"/>
  <c r="L1725" i="1"/>
  <c r="L1728" i="1"/>
  <c r="L1803" i="1"/>
  <c r="L1806" i="1"/>
  <c r="H1805" i="1"/>
  <c r="G1805" i="1"/>
  <c r="D1805" i="1"/>
  <c r="C1805" i="1"/>
  <c r="O1716" i="1"/>
  <c r="F1716" i="1" s="1"/>
  <c r="L1716" i="1"/>
  <c r="I1805" i="1" l="1"/>
  <c r="O1728" i="1"/>
  <c r="F1725" i="1"/>
  <c r="E1805" i="1"/>
  <c r="O1704" i="1"/>
  <c r="L1704" i="1"/>
  <c r="O1701" i="1"/>
  <c r="F1701" i="1" s="1"/>
  <c r="L1701" i="1"/>
  <c r="O1698" i="1"/>
  <c r="F1698" i="1" s="1"/>
  <c r="L1698" i="1"/>
  <c r="L1695" i="1"/>
  <c r="L1691" i="1"/>
  <c r="L1687" i="1"/>
  <c r="L1684" i="1"/>
  <c r="L1681" i="1"/>
  <c r="L1678" i="1"/>
  <c r="L1675" i="1"/>
  <c r="L1671" i="1"/>
  <c r="L1667" i="1"/>
  <c r="L1664" i="1"/>
  <c r="L1661" i="1"/>
  <c r="L1658" i="1"/>
  <c r="L1655" i="1"/>
  <c r="L1652" i="1"/>
  <c r="L1649" i="1"/>
  <c r="L1639" i="1"/>
  <c r="L1635" i="1"/>
  <c r="L1712" i="1"/>
  <c r="J1711" i="1"/>
  <c r="I1711" i="1"/>
  <c r="H1711" i="1"/>
  <c r="G1711" i="1"/>
  <c r="D1711" i="1"/>
  <c r="C1711" i="1"/>
  <c r="E1709" i="1"/>
  <c r="L1707" i="1"/>
  <c r="E1622" i="1"/>
  <c r="O1621" i="1"/>
  <c r="F1621" i="1" s="1"/>
  <c r="L1621" i="1"/>
  <c r="O1731" i="1" l="1"/>
  <c r="O1734" i="1" s="1"/>
  <c r="O1737" i="1" s="1"/>
  <c r="O1740" i="1" s="1"/>
  <c r="O1743" i="1" s="1"/>
  <c r="F1728" i="1"/>
  <c r="F1704" i="1"/>
  <c r="O1635" i="1"/>
  <c r="F1635" i="1" s="1"/>
  <c r="E1711" i="1"/>
  <c r="O1601" i="1"/>
  <c r="F1601" i="1" s="1"/>
  <c r="O1597" i="1"/>
  <c r="F1597" i="1" s="1"/>
  <c r="E1615" i="1"/>
  <c r="E1598" i="1"/>
  <c r="O1610" i="1"/>
  <c r="F1610" i="1" s="1"/>
  <c r="L1610" i="1"/>
  <c r="L1601" i="1"/>
  <c r="L1604" i="1"/>
  <c r="O1607" i="1"/>
  <c r="F1607" i="1" s="1"/>
  <c r="L1607" i="1"/>
  <c r="J1617" i="1"/>
  <c r="I1617" i="1"/>
  <c r="D1617" i="1"/>
  <c r="C1617" i="1"/>
  <c r="L1597" i="1"/>
  <c r="L1618" i="1"/>
  <c r="H1617" i="1"/>
  <c r="G1617" i="1"/>
  <c r="O1613" i="1"/>
  <c r="F1613" i="1" s="1"/>
  <c r="L1613" i="1"/>
  <c r="F1740" i="1" l="1"/>
  <c r="F1731" i="1"/>
  <c r="F1743" i="1"/>
  <c r="O1746" i="1"/>
  <c r="O1749" i="1" s="1"/>
  <c r="O1752" i="1" s="1"/>
  <c r="O1755" i="1" s="1"/>
  <c r="O1758" i="1" s="1"/>
  <c r="F1746" i="1"/>
  <c r="F1719" i="1"/>
  <c r="O1639" i="1"/>
  <c r="E1617" i="1"/>
  <c r="L1593" i="1"/>
  <c r="J1592" i="1"/>
  <c r="I1592" i="1"/>
  <c r="H1592" i="1"/>
  <c r="G1592" i="1"/>
  <c r="E1592" i="1"/>
  <c r="D1592" i="1"/>
  <c r="C1592" i="1"/>
  <c r="O1590" i="1"/>
  <c r="L1590" i="1"/>
  <c r="J1584" i="1"/>
  <c r="J1585" i="1" s="1"/>
  <c r="I1585" i="1"/>
  <c r="H1585" i="1"/>
  <c r="G1585" i="1"/>
  <c r="E1585" i="1"/>
  <c r="D1585" i="1"/>
  <c r="C1585" i="1"/>
  <c r="F1585" i="1"/>
  <c r="F1755" i="1" l="1"/>
  <c r="O1761" i="1"/>
  <c r="O1764" i="1" s="1"/>
  <c r="O1767" i="1" s="1"/>
  <c r="O1770" i="1" s="1"/>
  <c r="O1773" i="1" s="1"/>
  <c r="F1758" i="1"/>
  <c r="F1734" i="1"/>
  <c r="F1639" i="1"/>
  <c r="O1649" i="1"/>
  <c r="F1590" i="1"/>
  <c r="F1592" i="1" s="1"/>
  <c r="C1593" i="1" s="1"/>
  <c r="O1604" i="1"/>
  <c r="F1604" i="1" s="1"/>
  <c r="F1617" i="1" s="1"/>
  <c r="C1618" i="1" s="1"/>
  <c r="C1586" i="1"/>
  <c r="L1580" i="1"/>
  <c r="J1579" i="1"/>
  <c r="I1579" i="1"/>
  <c r="H1579" i="1"/>
  <c r="G1579" i="1"/>
  <c r="E1579" i="1"/>
  <c r="D1579" i="1"/>
  <c r="C1579" i="1"/>
  <c r="O1571" i="1"/>
  <c r="F1571" i="1" s="1"/>
  <c r="L1571" i="1"/>
  <c r="F1761" i="1" l="1"/>
  <c r="F1770" i="1"/>
  <c r="O1776" i="1"/>
  <c r="O1779" i="1" s="1"/>
  <c r="O1782" i="1" s="1"/>
  <c r="O1785" i="1" s="1"/>
  <c r="O1788" i="1" s="1"/>
  <c r="F1773" i="1"/>
  <c r="F1749" i="1"/>
  <c r="F1579" i="1"/>
  <c r="C1580" i="1" s="1"/>
  <c r="L1564" i="1"/>
  <c r="J1566" i="1"/>
  <c r="I1566" i="1"/>
  <c r="E1566" i="1"/>
  <c r="D1566" i="1"/>
  <c r="C1566" i="1"/>
  <c r="O1564" i="1"/>
  <c r="F1564" i="1" s="1"/>
  <c r="O1565" i="1"/>
  <c r="F1565" i="1" s="1"/>
  <c r="L1565" i="1"/>
  <c r="H1566" i="1"/>
  <c r="G1566" i="1"/>
  <c r="O1562" i="1"/>
  <c r="F1562" i="1" s="1"/>
  <c r="L1562" i="1"/>
  <c r="O1791" i="1" l="1"/>
  <c r="F1788" i="1"/>
  <c r="F1785" i="1"/>
  <c r="F1776" i="1"/>
  <c r="F1764" i="1"/>
  <c r="F1566" i="1"/>
  <c r="C1567" i="1" s="1"/>
  <c r="L1557" i="1"/>
  <c r="J1558" i="1"/>
  <c r="I1558" i="1"/>
  <c r="H1558" i="1"/>
  <c r="G1558" i="1"/>
  <c r="E1558" i="1"/>
  <c r="D1558" i="1"/>
  <c r="C1558" i="1"/>
  <c r="O1557" i="1"/>
  <c r="F1557" i="1" s="1"/>
  <c r="F1558" i="1" s="1"/>
  <c r="J1552" i="1"/>
  <c r="I1552" i="1"/>
  <c r="H1552" i="1"/>
  <c r="G1552" i="1"/>
  <c r="E1552" i="1"/>
  <c r="D1552" i="1"/>
  <c r="C1552" i="1"/>
  <c r="O1551" i="1"/>
  <c r="F1551" i="1" s="1"/>
  <c r="F1552" i="1" s="1"/>
  <c r="O1794" i="1" l="1"/>
  <c r="O1797" i="1" s="1"/>
  <c r="O1800" i="1" s="1"/>
  <c r="F1791" i="1"/>
  <c r="F1779" i="1"/>
  <c r="F1649" i="1"/>
  <c r="O1655" i="1"/>
  <c r="O1652" i="1"/>
  <c r="F1652" i="1" s="1"/>
  <c r="C1559" i="1"/>
  <c r="C1553" i="1"/>
  <c r="J1546" i="1"/>
  <c r="I1546" i="1"/>
  <c r="H1546" i="1"/>
  <c r="G1546" i="1"/>
  <c r="F1546" i="1"/>
  <c r="E1546" i="1"/>
  <c r="D1546" i="1"/>
  <c r="C1546" i="1"/>
  <c r="F1794" i="1" l="1"/>
  <c r="O1803" i="1"/>
  <c r="F1803" i="1" s="1"/>
  <c r="F1800" i="1"/>
  <c r="F1655" i="1"/>
  <c r="O1658" i="1"/>
  <c r="C1547" i="1"/>
  <c r="J1541" i="1"/>
  <c r="I1541" i="1"/>
  <c r="H1541" i="1"/>
  <c r="G1541" i="1"/>
  <c r="E1541" i="1"/>
  <c r="D1541" i="1"/>
  <c r="C1541" i="1"/>
  <c r="F1541" i="1"/>
  <c r="F1658" i="1" l="1"/>
  <c r="O1661" i="1"/>
  <c r="C1542" i="1"/>
  <c r="J1535" i="1"/>
  <c r="I1535" i="1"/>
  <c r="H1535" i="1"/>
  <c r="G1535" i="1"/>
  <c r="E1535" i="1"/>
  <c r="D1535" i="1"/>
  <c r="C1535" i="1"/>
  <c r="F1535" i="1"/>
  <c r="O1664" i="1" l="1"/>
  <c r="F1661" i="1"/>
  <c r="C1536" i="1"/>
  <c r="J1524" i="1"/>
  <c r="I1524" i="1"/>
  <c r="E1524" i="1"/>
  <c r="D1524" i="1"/>
  <c r="C1524" i="1"/>
  <c r="G1524" i="1"/>
  <c r="H1524" i="1"/>
  <c r="J1530" i="1"/>
  <c r="I1530" i="1"/>
  <c r="H1530" i="1"/>
  <c r="G1530" i="1"/>
  <c r="E1530" i="1"/>
  <c r="D1530" i="1"/>
  <c r="C1530" i="1"/>
  <c r="O1529" i="1"/>
  <c r="F1529" i="1" s="1"/>
  <c r="F1530" i="1" s="1"/>
  <c r="O1522" i="1"/>
  <c r="F1522" i="1" s="1"/>
  <c r="F1524" i="1" s="1"/>
  <c r="F1664" i="1" l="1"/>
  <c r="O1667" i="1"/>
  <c r="C1531" i="1"/>
  <c r="C1525" i="1"/>
  <c r="O1513" i="1"/>
  <c r="F1513" i="1" s="1"/>
  <c r="J1516" i="1"/>
  <c r="I1516" i="1"/>
  <c r="H1516" i="1"/>
  <c r="G1516" i="1"/>
  <c r="D1516" i="1"/>
  <c r="C1516" i="1"/>
  <c r="O1515" i="1"/>
  <c r="F1515" i="1" s="1"/>
  <c r="E1512" i="1"/>
  <c r="E1516" i="1" s="1"/>
  <c r="F1667" i="1" l="1"/>
  <c r="O1671" i="1"/>
  <c r="F1516" i="1"/>
  <c r="C1517" i="1" s="1"/>
  <c r="E1505" i="1"/>
  <c r="E1508" i="1" s="1"/>
  <c r="I1508" i="1"/>
  <c r="H1508" i="1"/>
  <c r="G1508" i="1"/>
  <c r="D1508" i="1"/>
  <c r="C1508" i="1"/>
  <c r="O1507" i="1"/>
  <c r="J1508" i="1"/>
  <c r="J1497" i="1"/>
  <c r="J1496" i="1"/>
  <c r="E1498" i="1"/>
  <c r="J1494" i="1"/>
  <c r="E1493" i="1"/>
  <c r="I1501" i="1"/>
  <c r="H1501" i="1"/>
  <c r="G1501" i="1"/>
  <c r="D1501" i="1"/>
  <c r="C1501" i="1"/>
  <c r="O1495" i="1"/>
  <c r="O1500" i="1" s="1"/>
  <c r="F1500" i="1" s="1"/>
  <c r="O1675" i="1" l="1"/>
  <c r="F1671" i="1"/>
  <c r="F1507" i="1"/>
  <c r="F1508" i="1" s="1"/>
  <c r="C1509" i="1" s="1"/>
  <c r="E1501" i="1"/>
  <c r="J1501" i="1"/>
  <c r="F1495" i="1"/>
  <c r="F1501" i="1" s="1"/>
  <c r="J1488" i="1"/>
  <c r="I1488" i="1"/>
  <c r="H1488" i="1"/>
  <c r="G1488" i="1"/>
  <c r="D1488" i="1"/>
  <c r="C1488" i="1"/>
  <c r="O1487" i="1"/>
  <c r="F1488" i="1"/>
  <c r="E1488" i="1"/>
  <c r="F1675" i="1" l="1"/>
  <c r="O1678" i="1"/>
  <c r="C1502" i="1"/>
  <c r="C1489" i="1"/>
  <c r="O1480" i="1"/>
  <c r="F1480" i="1" s="1"/>
  <c r="E1478" i="1"/>
  <c r="E1481" i="1" s="1"/>
  <c r="I1481" i="1"/>
  <c r="H1481" i="1"/>
  <c r="G1481" i="1"/>
  <c r="D1481" i="1"/>
  <c r="C1481" i="1"/>
  <c r="J1481" i="1"/>
  <c r="F1678" i="1" l="1"/>
  <c r="O1681" i="1"/>
  <c r="F1481" i="1"/>
  <c r="C1482" i="1" s="1"/>
  <c r="E1470" i="1"/>
  <c r="E1473" i="1" s="1"/>
  <c r="J1473" i="1"/>
  <c r="I1473" i="1"/>
  <c r="H1473" i="1"/>
  <c r="G1473" i="1"/>
  <c r="D1473" i="1"/>
  <c r="C1473" i="1"/>
  <c r="O1472" i="1"/>
  <c r="F1472" i="1" s="1"/>
  <c r="F1473" i="1" s="1"/>
  <c r="F1681" i="1" l="1"/>
  <c r="O1684" i="1"/>
  <c r="C1474" i="1"/>
  <c r="E1461" i="1"/>
  <c r="O1463" i="1"/>
  <c r="F1463" i="1" s="1"/>
  <c r="N1455" i="1"/>
  <c r="N1448" i="1"/>
  <c r="E1445" i="1"/>
  <c r="E1442" i="1"/>
  <c r="E1453" i="1"/>
  <c r="E1456" i="1"/>
  <c r="J1460" i="1"/>
  <c r="J1459" i="1"/>
  <c r="J1457" i="1"/>
  <c r="J1454" i="1"/>
  <c r="J1452" i="1"/>
  <c r="J1451" i="1"/>
  <c r="J1449" i="1"/>
  <c r="J1446" i="1"/>
  <c r="J1462" i="1"/>
  <c r="J1443" i="1"/>
  <c r="I1464" i="1"/>
  <c r="H1464" i="1"/>
  <c r="G1464" i="1"/>
  <c r="D1464" i="1"/>
  <c r="C1464" i="1"/>
  <c r="O1444" i="1"/>
  <c r="O1448" i="1" s="1"/>
  <c r="F1448" i="1" l="1"/>
  <c r="F1684" i="1"/>
  <c r="O1687" i="1"/>
  <c r="O1691" i="1" s="1"/>
  <c r="J1464" i="1"/>
  <c r="E1464" i="1"/>
  <c r="F1444" i="1"/>
  <c r="E1436" i="1"/>
  <c r="E1434" i="1"/>
  <c r="E1430" i="1"/>
  <c r="F1691" i="1" l="1"/>
  <c r="O1695" i="1"/>
  <c r="F1687" i="1"/>
  <c r="F1455" i="1"/>
  <c r="F1458" i="1"/>
  <c r="J1438" i="1"/>
  <c r="I1438" i="1"/>
  <c r="H1438" i="1"/>
  <c r="G1438" i="1"/>
  <c r="D1438" i="1"/>
  <c r="C1438" i="1"/>
  <c r="O1437" i="1"/>
  <c r="F1437" i="1" s="1"/>
  <c r="E1438" i="1"/>
  <c r="O1433" i="1"/>
  <c r="F1695" i="1" l="1"/>
  <c r="O1707" i="1"/>
  <c r="F1464" i="1"/>
  <c r="C1465" i="1" s="1"/>
  <c r="F1433" i="1"/>
  <c r="O1435" i="1"/>
  <c r="F1435" i="1" s="1"/>
  <c r="J1426" i="1"/>
  <c r="I1426" i="1"/>
  <c r="H1426" i="1"/>
  <c r="G1426" i="1"/>
  <c r="D1426" i="1"/>
  <c r="C1426" i="1"/>
  <c r="E1426" i="1"/>
  <c r="F1426" i="1"/>
  <c r="F1711" i="1" l="1"/>
  <c r="C1712" i="1" s="1"/>
  <c r="F1707" i="1"/>
  <c r="F1438" i="1"/>
  <c r="C1439" i="1" s="1"/>
  <c r="C1427" i="1"/>
  <c r="O1411" i="1"/>
  <c r="F1411" i="1" s="1"/>
  <c r="E1412" i="1"/>
  <c r="E1415" i="1" s="1"/>
  <c r="C1415" i="1"/>
  <c r="D1415" i="1"/>
  <c r="I1415" i="1"/>
  <c r="J1415" i="1"/>
  <c r="H1415" i="1"/>
  <c r="G1415" i="1"/>
  <c r="O1414" i="1"/>
  <c r="F1414" i="1" s="1"/>
  <c r="F1722" i="1" l="1"/>
  <c r="F1415" i="1"/>
  <c r="C1416" i="1" s="1"/>
  <c r="J1405" i="1"/>
  <c r="I1405" i="1"/>
  <c r="H1405" i="1"/>
  <c r="G1405" i="1"/>
  <c r="E1405" i="1"/>
  <c r="D1405" i="1"/>
  <c r="C1405" i="1"/>
  <c r="O1404" i="1"/>
  <c r="F1404" i="1" s="1"/>
  <c r="F1405" i="1" s="1"/>
  <c r="F1737" i="1" l="1"/>
  <c r="C1406" i="1"/>
  <c r="E1397" i="1"/>
  <c r="E1399" i="1" s="1"/>
  <c r="J1399" i="1"/>
  <c r="I1399" i="1"/>
  <c r="H1399" i="1"/>
  <c r="G1399" i="1"/>
  <c r="D1399" i="1"/>
  <c r="C1399" i="1"/>
  <c r="O1398" i="1"/>
  <c r="F1398" i="1" s="1"/>
  <c r="F1399" i="1" s="1"/>
  <c r="F1752" i="1" l="1"/>
  <c r="C1400" i="1"/>
  <c r="E1390" i="1"/>
  <c r="E1393" i="1" s="1"/>
  <c r="J1393" i="1"/>
  <c r="I1393" i="1"/>
  <c r="H1393" i="1"/>
  <c r="G1393" i="1"/>
  <c r="D1393" i="1"/>
  <c r="C1393" i="1"/>
  <c r="O1392" i="1"/>
  <c r="F1392" i="1" s="1"/>
  <c r="F1767" i="1" l="1"/>
  <c r="F1393" i="1"/>
  <c r="C1394" i="1" s="1"/>
  <c r="E1382" i="1"/>
  <c r="E1385" i="1" s="1"/>
  <c r="J1385" i="1"/>
  <c r="I1385" i="1"/>
  <c r="H1385" i="1"/>
  <c r="G1385" i="1"/>
  <c r="D1385" i="1"/>
  <c r="C1385" i="1"/>
  <c r="O1384" i="1"/>
  <c r="F1384" i="1" s="1"/>
  <c r="F1385" i="1" s="1"/>
  <c r="O1376" i="1"/>
  <c r="F1376" i="1" s="1"/>
  <c r="J1378" i="1"/>
  <c r="I1378" i="1"/>
  <c r="D1378" i="1"/>
  <c r="C1378" i="1"/>
  <c r="E1375" i="1"/>
  <c r="E1372" i="1"/>
  <c r="H1378" i="1"/>
  <c r="G1378" i="1"/>
  <c r="O1373" i="1"/>
  <c r="F1373" i="1" s="1"/>
  <c r="F1782" i="1" l="1"/>
  <c r="F1797" i="1"/>
  <c r="E1378" i="1"/>
  <c r="C1386" i="1"/>
  <c r="F1378" i="1"/>
  <c r="J1368" i="1"/>
  <c r="I1368" i="1"/>
  <c r="H1368" i="1"/>
  <c r="G1368" i="1"/>
  <c r="D1368" i="1"/>
  <c r="C1368" i="1"/>
  <c r="O1367" i="1"/>
  <c r="F1367" i="1" s="1"/>
  <c r="F1368" i="1" s="1"/>
  <c r="E1366" i="1"/>
  <c r="E1368" i="1" s="1"/>
  <c r="F1805" i="1" l="1"/>
  <c r="C1806" i="1" s="1"/>
  <c r="C1379" i="1"/>
  <c r="C1369" i="1"/>
  <c r="E1359" i="1"/>
  <c r="E1361" i="1" s="1"/>
  <c r="J1361" i="1"/>
  <c r="I1361" i="1"/>
  <c r="H1361" i="1"/>
  <c r="G1361" i="1"/>
  <c r="D1361" i="1"/>
  <c r="C1361" i="1"/>
  <c r="O1360" i="1"/>
  <c r="E1352" i="1"/>
  <c r="E1354" i="1" s="1"/>
  <c r="J1354" i="1"/>
  <c r="I1354" i="1"/>
  <c r="H1354" i="1"/>
  <c r="G1354" i="1"/>
  <c r="D1354" i="1"/>
  <c r="C1354" i="1"/>
  <c r="O1353" i="1"/>
  <c r="F1360" i="1" l="1"/>
  <c r="F1361" i="1" s="1"/>
  <c r="C1362" i="1" s="1"/>
  <c r="F1353" i="1"/>
  <c r="E1343" i="1"/>
  <c r="E1339" i="1"/>
  <c r="E1337" i="1"/>
  <c r="J1347" i="1"/>
  <c r="I1347" i="1"/>
  <c r="D1347" i="1"/>
  <c r="C1347" i="1"/>
  <c r="H1347" i="1"/>
  <c r="G1347" i="1"/>
  <c r="O1338" i="1"/>
  <c r="F1338" i="1" s="1"/>
  <c r="F1354" i="1" l="1"/>
  <c r="C1355" i="1" s="1"/>
  <c r="O1342" i="1"/>
  <c r="F1342" i="1" s="1"/>
  <c r="O1346" i="1"/>
  <c r="F1346" i="1" s="1"/>
  <c r="E1347" i="1"/>
  <c r="E1328" i="1"/>
  <c r="E1332" i="1" s="1"/>
  <c r="J1332" i="1"/>
  <c r="I1332" i="1"/>
  <c r="H1332" i="1"/>
  <c r="G1332" i="1"/>
  <c r="D1332" i="1"/>
  <c r="C1332" i="1"/>
  <c r="O1331" i="1"/>
  <c r="F1331" i="1" s="1"/>
  <c r="F1332" i="1" s="1"/>
  <c r="F1347" i="1" l="1"/>
  <c r="C1348" i="1" s="1"/>
  <c r="C1333" i="1"/>
  <c r="E1320" i="1"/>
  <c r="E1322" i="1" s="1"/>
  <c r="J1322" i="1"/>
  <c r="I1322" i="1"/>
  <c r="H1322" i="1"/>
  <c r="G1322" i="1"/>
  <c r="D1322" i="1"/>
  <c r="C1322" i="1"/>
  <c r="O1321" i="1"/>
  <c r="F1321" i="1" s="1"/>
  <c r="F1322" i="1" s="1"/>
  <c r="C1323" i="1" l="1"/>
  <c r="E1310" i="1"/>
  <c r="E1316" i="1" s="1"/>
  <c r="J1316" i="1"/>
  <c r="I1316" i="1"/>
  <c r="H1316" i="1"/>
  <c r="G1316" i="1"/>
  <c r="D1316" i="1"/>
  <c r="C1316" i="1"/>
  <c r="O1315" i="1"/>
  <c r="F1315" i="1" s="1"/>
  <c r="F1316" i="1" s="1"/>
  <c r="C1317" i="1" l="1"/>
  <c r="E1302" i="1"/>
  <c r="J1306" i="1"/>
  <c r="I1306" i="1"/>
  <c r="H1306" i="1"/>
  <c r="G1306" i="1"/>
  <c r="D1306" i="1"/>
  <c r="C1306" i="1"/>
  <c r="O1305" i="1"/>
  <c r="F1305" i="1" s="1"/>
  <c r="F1306" i="1" s="1"/>
  <c r="E1306" i="1"/>
  <c r="C1307" i="1" l="1"/>
  <c r="E1294" i="1"/>
  <c r="E1284" i="1" l="1"/>
  <c r="E1282" i="1"/>
  <c r="J1298" i="1"/>
  <c r="I1298" i="1"/>
  <c r="H1298" i="1"/>
  <c r="G1298" i="1"/>
  <c r="D1298" i="1"/>
  <c r="C1298" i="1"/>
  <c r="O1297" i="1"/>
  <c r="F1297" i="1" s="1"/>
  <c r="O1293" i="1"/>
  <c r="F1293" i="1" s="1"/>
  <c r="O1288" i="1"/>
  <c r="F1288" i="1" s="1"/>
  <c r="O1283" i="1"/>
  <c r="F1283" i="1" s="1"/>
  <c r="E1298" i="1" l="1"/>
  <c r="F1298" i="1"/>
  <c r="E1275" i="1"/>
  <c r="J1277" i="1"/>
  <c r="I1277" i="1"/>
  <c r="H1277" i="1"/>
  <c r="G1277" i="1"/>
  <c r="D1277" i="1"/>
  <c r="C1277" i="1"/>
  <c r="O1276" i="1"/>
  <c r="F1276" i="1" s="1"/>
  <c r="F1277" i="1" s="1"/>
  <c r="E1277" i="1"/>
  <c r="C1299" i="1" l="1"/>
  <c r="C1278" i="1"/>
  <c r="E1266" i="1"/>
  <c r="E1262" i="1"/>
  <c r="E1254" i="1"/>
  <c r="J1270" i="1"/>
  <c r="I1270" i="1"/>
  <c r="H1270" i="1"/>
  <c r="G1270" i="1"/>
  <c r="D1270" i="1"/>
  <c r="C1270" i="1"/>
  <c r="O1269" i="1"/>
  <c r="F1269" i="1" s="1"/>
  <c r="O1265" i="1"/>
  <c r="F1265" i="1" s="1"/>
  <c r="O1261" i="1"/>
  <c r="F1261" i="1" s="1"/>
  <c r="O1257" i="1"/>
  <c r="F1257" i="1" s="1"/>
  <c r="E1270" i="1"/>
  <c r="F1270" i="1" l="1"/>
  <c r="C1271" i="1" s="1"/>
  <c r="E1245" i="1"/>
  <c r="E1241" i="1"/>
  <c r="E1237" i="1"/>
  <c r="E1233" i="1"/>
  <c r="E1229" i="1"/>
  <c r="E1225" i="1"/>
  <c r="E1215" i="1"/>
  <c r="E1210" i="1"/>
  <c r="E1206" i="1"/>
  <c r="E1202" i="1"/>
  <c r="E1198" i="1"/>
  <c r="O1248" i="1"/>
  <c r="F1248" i="1" s="1"/>
  <c r="O1244" i="1"/>
  <c r="O1240" i="1"/>
  <c r="O1236" i="1"/>
  <c r="O1232" i="1"/>
  <c r="O1228" i="1"/>
  <c r="O1224" i="1"/>
  <c r="O1219" i="1"/>
  <c r="O1214" i="1"/>
  <c r="O1209" i="1"/>
  <c r="F1209" i="1" s="1"/>
  <c r="O1205" i="1"/>
  <c r="J1249" i="1"/>
  <c r="I1249" i="1"/>
  <c r="H1249" i="1"/>
  <c r="G1249" i="1"/>
  <c r="D1249" i="1"/>
  <c r="C1249" i="1"/>
  <c r="O1201" i="1"/>
  <c r="E1249" i="1" l="1"/>
  <c r="F1228" i="1"/>
  <c r="F1224" i="1"/>
  <c r="F1232" i="1"/>
  <c r="F1201" i="1"/>
  <c r="E1188" i="1"/>
  <c r="N1192" i="1"/>
  <c r="E1184" i="1"/>
  <c r="E1180" i="1"/>
  <c r="E1176" i="1"/>
  <c r="J1193" i="1"/>
  <c r="I1193" i="1"/>
  <c r="H1193" i="1"/>
  <c r="G1193" i="1"/>
  <c r="D1193" i="1"/>
  <c r="C1193" i="1"/>
  <c r="O1192" i="1"/>
  <c r="O1179" i="1"/>
  <c r="F1179" i="1" s="1"/>
  <c r="E1193" i="1" l="1"/>
  <c r="F1192" i="1"/>
  <c r="F1236" i="1"/>
  <c r="F1219" i="1"/>
  <c r="F1214" i="1"/>
  <c r="F1205" i="1"/>
  <c r="O1183" i="1"/>
  <c r="F1183" i="1" s="1"/>
  <c r="O1163" i="1"/>
  <c r="F1163" i="1" s="1"/>
  <c r="F1164" i="1" s="1"/>
  <c r="E1160" i="1"/>
  <c r="E1164" i="1" s="1"/>
  <c r="J1164" i="1"/>
  <c r="I1164" i="1"/>
  <c r="H1164" i="1"/>
  <c r="G1164" i="1"/>
  <c r="D1164" i="1"/>
  <c r="C1164" i="1"/>
  <c r="J1171" i="1"/>
  <c r="I1171" i="1"/>
  <c r="H1171" i="1"/>
  <c r="G1171" i="1"/>
  <c r="F1171" i="1"/>
  <c r="E1171" i="1"/>
  <c r="D1171" i="1"/>
  <c r="C1171" i="1"/>
  <c r="O1187" i="1" l="1"/>
  <c r="F1187" i="1" s="1"/>
  <c r="F1193" i="1" s="1"/>
  <c r="C1194" i="1" s="1"/>
  <c r="F1240" i="1"/>
  <c r="F1244" i="1"/>
  <c r="F1249" i="1" s="1"/>
  <c r="C1250" i="1" s="1"/>
  <c r="C1165" i="1"/>
  <c r="C1172" i="1"/>
  <c r="J1156" i="1"/>
  <c r="I1156" i="1"/>
  <c r="H1156" i="1"/>
  <c r="G1156" i="1"/>
  <c r="F1156" i="1"/>
  <c r="E1156" i="1"/>
  <c r="D1156" i="1"/>
  <c r="C1156" i="1"/>
  <c r="C1157" i="1" l="1"/>
  <c r="J1151" i="1"/>
  <c r="I1151" i="1"/>
  <c r="H1151" i="1"/>
  <c r="G1151" i="1"/>
  <c r="F1151" i="1"/>
  <c r="E1151" i="1"/>
  <c r="D1151" i="1"/>
  <c r="C1151" i="1"/>
  <c r="C1152" i="1" l="1"/>
  <c r="J1146" i="1"/>
  <c r="I1146" i="1"/>
  <c r="H1146" i="1"/>
  <c r="G1146" i="1"/>
  <c r="F1146" i="1"/>
  <c r="E1146" i="1"/>
  <c r="D1146" i="1"/>
  <c r="C1146" i="1"/>
  <c r="C1147" i="1" l="1"/>
  <c r="C1140" i="1"/>
  <c r="C1141" i="1" s="1"/>
  <c r="I1141" i="1"/>
  <c r="H1141" i="1"/>
  <c r="G1141" i="1"/>
  <c r="F1141" i="1"/>
  <c r="E1141" i="1"/>
  <c r="D1141" i="1"/>
  <c r="J1141" i="1"/>
  <c r="C1142" i="1" l="1"/>
  <c r="J1135" i="1"/>
  <c r="J1136" i="1" s="1"/>
  <c r="I1136" i="1"/>
  <c r="H1136" i="1"/>
  <c r="G1136" i="1"/>
  <c r="F1136" i="1"/>
  <c r="E1136" i="1"/>
  <c r="D1136" i="1"/>
  <c r="C1136" i="1"/>
  <c r="C1137" i="1" l="1"/>
  <c r="J1131" i="1"/>
  <c r="I1131" i="1"/>
  <c r="H1131" i="1"/>
  <c r="G1131" i="1"/>
  <c r="F1131" i="1"/>
  <c r="E1131" i="1"/>
  <c r="D1131" i="1"/>
  <c r="C1131" i="1"/>
  <c r="J1125" i="1"/>
  <c r="I1125" i="1"/>
  <c r="H1125" i="1"/>
  <c r="G1125" i="1"/>
  <c r="F1125" i="1"/>
  <c r="E1125" i="1"/>
  <c r="D1125" i="1"/>
  <c r="C1125" i="1"/>
  <c r="J1120" i="1"/>
  <c r="I1120" i="1"/>
  <c r="H1120" i="1"/>
  <c r="G1120" i="1"/>
  <c r="F1120" i="1"/>
  <c r="E1120" i="1"/>
  <c r="D1120" i="1"/>
  <c r="C1120" i="1"/>
  <c r="C1132" i="1" l="1"/>
  <c r="C1126" i="1"/>
  <c r="C1121" i="1"/>
  <c r="E1110" i="1"/>
  <c r="O1112" i="1"/>
  <c r="F1112" i="1" s="1"/>
  <c r="E1107" i="1"/>
  <c r="J1113" i="1"/>
  <c r="I1113" i="1"/>
  <c r="H1113" i="1"/>
  <c r="G1113" i="1"/>
  <c r="D1113" i="1"/>
  <c r="C1113" i="1"/>
  <c r="O1109" i="1"/>
  <c r="F1109" i="1" s="1"/>
  <c r="F1113" i="1" l="1"/>
  <c r="E1113" i="1"/>
  <c r="J1102" i="1"/>
  <c r="I1102" i="1"/>
  <c r="H1102" i="1"/>
  <c r="G1102" i="1"/>
  <c r="D1102" i="1"/>
  <c r="C1102" i="1"/>
  <c r="O1101" i="1"/>
  <c r="F1101" i="1" s="1"/>
  <c r="F1102" i="1" s="1"/>
  <c r="E1099" i="1"/>
  <c r="E1102" i="1" s="1"/>
  <c r="C1114" i="1" l="1"/>
  <c r="C1103" i="1"/>
  <c r="E1093" i="1"/>
  <c r="J1095" i="1"/>
  <c r="I1095" i="1"/>
  <c r="H1095" i="1"/>
  <c r="G1095" i="1"/>
  <c r="E1095" i="1"/>
  <c r="D1095" i="1"/>
  <c r="C1095" i="1"/>
  <c r="O1094" i="1"/>
  <c r="F1094" i="1" s="1"/>
  <c r="F1095" i="1" s="1"/>
  <c r="C1096" i="1" l="1"/>
  <c r="O1088" i="1"/>
  <c r="F1088" i="1" s="1"/>
  <c r="F1089" i="1" s="1"/>
  <c r="J1089" i="1"/>
  <c r="I1089" i="1"/>
  <c r="H1089" i="1"/>
  <c r="G1089" i="1"/>
  <c r="D1089" i="1"/>
  <c r="C1089" i="1"/>
  <c r="E1089" i="1"/>
  <c r="C1090" i="1" l="1"/>
  <c r="J1083" i="1"/>
  <c r="I1083" i="1"/>
  <c r="H1083" i="1"/>
  <c r="G1083" i="1"/>
  <c r="D1083" i="1"/>
  <c r="C1083" i="1"/>
  <c r="O1082" i="1"/>
  <c r="F1082" i="1" s="1"/>
  <c r="F1083" i="1" s="1"/>
  <c r="E1081" i="1"/>
  <c r="E1083" i="1" s="1"/>
  <c r="C1084" i="1" l="1"/>
  <c r="J1076" i="1"/>
  <c r="J1068" i="1"/>
  <c r="E1073" i="1"/>
  <c r="E1076" i="1" s="1"/>
  <c r="I1076" i="1"/>
  <c r="H1076" i="1"/>
  <c r="G1076" i="1"/>
  <c r="D1076" i="1"/>
  <c r="C1076" i="1"/>
  <c r="O1075" i="1"/>
  <c r="O1074" i="1"/>
  <c r="E1064" i="1"/>
  <c r="E1060" i="1"/>
  <c r="I1068" i="1"/>
  <c r="D1068" i="1"/>
  <c r="C1068" i="1"/>
  <c r="H1068" i="1"/>
  <c r="G1068" i="1"/>
  <c r="O1063" i="1"/>
  <c r="F1063" i="1" s="1"/>
  <c r="O1061" i="1"/>
  <c r="E1068" i="1" l="1"/>
  <c r="O1067" i="1"/>
  <c r="F1067" i="1" s="1"/>
  <c r="O1065" i="1"/>
  <c r="F1068" i="1"/>
  <c r="F1075" i="1"/>
  <c r="F1076" i="1" s="1"/>
  <c r="C1077" i="1" s="1"/>
  <c r="E1051" i="1"/>
  <c r="E1055" i="1" s="1"/>
  <c r="O1052" i="1"/>
  <c r="J1055" i="1"/>
  <c r="I1055" i="1"/>
  <c r="H1055" i="1"/>
  <c r="G1055" i="1"/>
  <c r="D1055" i="1"/>
  <c r="C1055" i="1"/>
  <c r="O1054" i="1"/>
  <c r="F1054" i="1" s="1"/>
  <c r="C1069" i="1" l="1"/>
  <c r="F1055" i="1"/>
  <c r="C1056" i="1" s="1"/>
  <c r="E1044" i="1"/>
  <c r="J1046" i="1"/>
  <c r="I1046" i="1"/>
  <c r="H1046" i="1"/>
  <c r="G1046" i="1"/>
  <c r="D1046" i="1"/>
  <c r="C1046" i="1"/>
  <c r="O1045" i="1"/>
  <c r="F1045" i="1" s="1"/>
  <c r="F1044" i="1"/>
  <c r="E1046" i="1"/>
  <c r="F1046" i="1" l="1"/>
  <c r="C1047" i="1" s="1"/>
  <c r="E1037" i="1"/>
  <c r="E1035" i="1"/>
  <c r="O1038" i="1"/>
  <c r="O1036" i="1"/>
  <c r="F1034" i="1"/>
  <c r="F1035" i="1"/>
  <c r="J1039" i="1"/>
  <c r="I1039" i="1"/>
  <c r="H1039" i="1"/>
  <c r="G1039" i="1"/>
  <c r="D1039" i="1"/>
  <c r="C1039" i="1"/>
  <c r="F1037" i="1"/>
  <c r="E1039" i="1"/>
  <c r="F1033" i="1"/>
  <c r="F1036" i="1" l="1"/>
  <c r="F1038" i="1"/>
  <c r="O1024" i="1"/>
  <c r="F1024" i="1" s="1"/>
  <c r="F1039" i="1" l="1"/>
  <c r="C1040" i="1" s="1"/>
  <c r="E1027" i="1"/>
  <c r="F1026" i="1"/>
  <c r="F1027" i="1"/>
  <c r="F1025" i="1"/>
  <c r="J1029" i="1"/>
  <c r="I1029" i="1"/>
  <c r="H1029" i="1"/>
  <c r="G1029" i="1"/>
  <c r="D1029" i="1"/>
  <c r="C1029" i="1"/>
  <c r="E1029" i="1"/>
  <c r="F1023" i="1"/>
  <c r="O1028" i="1" l="1"/>
  <c r="F1028" i="1" s="1"/>
  <c r="F1016" i="1"/>
  <c r="E1014" i="1"/>
  <c r="E1018" i="1" s="1"/>
  <c r="F1015" i="1"/>
  <c r="F1014" i="1"/>
  <c r="F1012" i="1"/>
  <c r="J1018" i="1"/>
  <c r="I1018" i="1"/>
  <c r="D1018" i="1"/>
  <c r="C1018" i="1"/>
  <c r="H1018" i="1"/>
  <c r="G1018" i="1"/>
  <c r="O1013" i="1"/>
  <c r="F1013" i="1" s="1"/>
  <c r="F1029" i="1" l="1"/>
  <c r="C1030" i="1" s="1"/>
  <c r="O1017" i="1"/>
  <c r="F1017" i="1" s="1"/>
  <c r="F1018" i="1" s="1"/>
  <c r="C1019" i="1" s="1"/>
  <c r="E1006" i="1"/>
  <c r="E1008" i="1" s="1"/>
  <c r="J1008" i="1"/>
  <c r="I1008" i="1"/>
  <c r="H1008" i="1"/>
  <c r="G1008" i="1"/>
  <c r="D1008" i="1"/>
  <c r="C1008" i="1"/>
  <c r="O1007" i="1"/>
  <c r="F1007" i="1" s="1"/>
  <c r="F1008" i="1" s="1"/>
  <c r="C1009" i="1" l="1"/>
  <c r="N1001" i="1"/>
  <c r="O993" i="1"/>
  <c r="O1001" i="1" s="1"/>
  <c r="I1002" i="1"/>
  <c r="E1002" i="1"/>
  <c r="D1002" i="1"/>
  <c r="C1002" i="1"/>
  <c r="J995" i="1"/>
  <c r="J998" i="1"/>
  <c r="J988" i="1"/>
  <c r="J986" i="1"/>
  <c r="J983" i="1"/>
  <c r="J980" i="1"/>
  <c r="J977" i="1"/>
  <c r="H1002" i="1"/>
  <c r="G1002" i="1"/>
  <c r="J1002" i="1" l="1"/>
  <c r="J969" i="1"/>
  <c r="I969" i="1"/>
  <c r="H969" i="1"/>
  <c r="G969" i="1"/>
  <c r="E969" i="1"/>
  <c r="D969" i="1"/>
  <c r="C969" i="1"/>
  <c r="O968" i="1"/>
  <c r="F968" i="1" s="1"/>
  <c r="F969" i="1" s="1"/>
  <c r="J959" i="1"/>
  <c r="I959" i="1"/>
  <c r="H959" i="1"/>
  <c r="G959" i="1"/>
  <c r="E959" i="1"/>
  <c r="D959" i="1"/>
  <c r="C959" i="1"/>
  <c r="O958" i="1"/>
  <c r="F958" i="1" s="1"/>
  <c r="F959" i="1" s="1"/>
  <c r="C970" i="1" l="1"/>
  <c r="C960" i="1"/>
  <c r="J953" i="1"/>
  <c r="I953" i="1"/>
  <c r="H953" i="1"/>
  <c r="G953" i="1"/>
  <c r="D953" i="1"/>
  <c r="C953" i="1"/>
  <c r="O952" i="1"/>
  <c r="F952" i="1" s="1"/>
  <c r="F953" i="1" s="1"/>
  <c r="E953" i="1"/>
  <c r="C954" i="1" l="1"/>
  <c r="E936" i="1"/>
  <c r="E939" i="1" s="1"/>
  <c r="O938" i="1"/>
  <c r="F938" i="1" s="1"/>
  <c r="J939" i="1"/>
  <c r="I939" i="1"/>
  <c r="H939" i="1"/>
  <c r="G939" i="1"/>
  <c r="D939" i="1"/>
  <c r="C939" i="1"/>
  <c r="F939" i="1" l="1"/>
  <c r="C940" i="1" s="1"/>
  <c r="E928" i="1"/>
  <c r="E911" i="1"/>
  <c r="J932" i="1"/>
  <c r="I932" i="1"/>
  <c r="H932" i="1"/>
  <c r="G932" i="1"/>
  <c r="D932" i="1"/>
  <c r="C932" i="1"/>
  <c r="O919" i="1"/>
  <c r="O931" i="1" s="1"/>
  <c r="F931" i="1" s="1"/>
  <c r="F915" i="1"/>
  <c r="J906" i="1"/>
  <c r="I906" i="1"/>
  <c r="H906" i="1"/>
  <c r="G906" i="1"/>
  <c r="D906" i="1"/>
  <c r="C906" i="1"/>
  <c r="E904" i="1"/>
  <c r="O903" i="1"/>
  <c r="O905" i="1" s="1"/>
  <c r="F905" i="1" s="1"/>
  <c r="E901" i="1"/>
  <c r="F900" i="1"/>
  <c r="E899" i="1"/>
  <c r="E890" i="1"/>
  <c r="J894" i="1"/>
  <c r="I894" i="1"/>
  <c r="H894" i="1"/>
  <c r="G894" i="1"/>
  <c r="D894" i="1"/>
  <c r="C894" i="1"/>
  <c r="F893" i="1"/>
  <c r="E878" i="1"/>
  <c r="E883" i="1"/>
  <c r="J885" i="1"/>
  <c r="I885" i="1"/>
  <c r="H885" i="1"/>
  <c r="G885" i="1"/>
  <c r="D885" i="1"/>
  <c r="C885" i="1"/>
  <c r="O882" i="1"/>
  <c r="O884" i="1" s="1"/>
  <c r="F884" i="1" s="1"/>
  <c r="E880" i="1"/>
  <c r="F879" i="1"/>
  <c r="F903" i="1" l="1"/>
  <c r="F906" i="1" s="1"/>
  <c r="E906" i="1"/>
  <c r="O923" i="1"/>
  <c r="E932" i="1"/>
  <c r="F919" i="1"/>
  <c r="E885" i="1"/>
  <c r="F894" i="1"/>
  <c r="E894" i="1"/>
  <c r="F882" i="1"/>
  <c r="F885" i="1" s="1"/>
  <c r="J873" i="1"/>
  <c r="I873" i="1"/>
  <c r="H873" i="1"/>
  <c r="G873" i="1"/>
  <c r="D873" i="1"/>
  <c r="C873" i="1"/>
  <c r="F873" i="1"/>
  <c r="E873" i="1"/>
  <c r="C886" i="1" l="1"/>
  <c r="F993" i="1"/>
  <c r="C907" i="1"/>
  <c r="O927" i="1"/>
  <c r="F927" i="1" s="1"/>
  <c r="F923" i="1"/>
  <c r="C895" i="1"/>
  <c r="C874" i="1"/>
  <c r="E864" i="1"/>
  <c r="J868" i="1"/>
  <c r="I868" i="1"/>
  <c r="H868" i="1"/>
  <c r="G868" i="1"/>
  <c r="D868" i="1"/>
  <c r="C868" i="1"/>
  <c r="O867" i="1"/>
  <c r="F867" i="1" s="1"/>
  <c r="E866" i="1"/>
  <c r="F865" i="1"/>
  <c r="F1001" i="1" l="1"/>
  <c r="E868" i="1"/>
  <c r="F932" i="1"/>
  <c r="C933" i="1" s="1"/>
  <c r="F868" i="1"/>
  <c r="E857" i="1"/>
  <c r="E855" i="1"/>
  <c r="E853" i="1"/>
  <c r="J859" i="1"/>
  <c r="I859" i="1"/>
  <c r="H859" i="1"/>
  <c r="G859" i="1"/>
  <c r="D859" i="1"/>
  <c r="C859" i="1"/>
  <c r="O856" i="1"/>
  <c r="O858" i="1" s="1"/>
  <c r="F854" i="1"/>
  <c r="F1002" i="1" l="1"/>
  <c r="C1003" i="1" s="1"/>
  <c r="C869" i="1"/>
  <c r="F856" i="1"/>
  <c r="E859" i="1"/>
  <c r="F858" i="1"/>
  <c r="E843" i="1"/>
  <c r="O835" i="1"/>
  <c r="O838" i="1" s="1"/>
  <c r="E845" i="1"/>
  <c r="E839" i="1"/>
  <c r="E836" i="1"/>
  <c r="E834" i="1"/>
  <c r="E831" i="1"/>
  <c r="J848" i="1"/>
  <c r="I848" i="1"/>
  <c r="H848" i="1"/>
  <c r="G848" i="1"/>
  <c r="D848" i="1"/>
  <c r="C848" i="1"/>
  <c r="F833" i="1"/>
  <c r="F859" i="1" l="1"/>
  <c r="C860" i="1" s="1"/>
  <c r="F838" i="1"/>
  <c r="O844" i="1"/>
  <c r="E848" i="1"/>
  <c r="F835" i="1"/>
  <c r="D44" i="2"/>
  <c r="D52" i="2" s="1"/>
  <c r="D46" i="2"/>
  <c r="D49" i="2"/>
  <c r="C52" i="2"/>
  <c r="O823" i="1"/>
  <c r="F823" i="1" s="1"/>
  <c r="E824" i="1"/>
  <c r="E821" i="1"/>
  <c r="E819" i="1"/>
  <c r="J827" i="1"/>
  <c r="I827" i="1"/>
  <c r="H827" i="1"/>
  <c r="G827" i="1"/>
  <c r="D827" i="1"/>
  <c r="C827" i="1"/>
  <c r="F820" i="1"/>
  <c r="E827" i="1" l="1"/>
  <c r="O847" i="1"/>
  <c r="F847" i="1" s="1"/>
  <c r="F844" i="1"/>
  <c r="O826" i="1"/>
  <c r="F826" i="1" s="1"/>
  <c r="F827" i="1" s="1"/>
  <c r="J39" i="2"/>
  <c r="I39" i="2"/>
  <c r="H39" i="2"/>
  <c r="G39" i="2"/>
  <c r="D39" i="2"/>
  <c r="C39" i="2"/>
  <c r="F38" i="2"/>
  <c r="E37" i="2"/>
  <c r="F36" i="2"/>
  <c r="F39" i="2" s="1"/>
  <c r="E35" i="2"/>
  <c r="E39" i="2" s="1"/>
  <c r="E813" i="1"/>
  <c r="E811" i="1"/>
  <c r="F814" i="1"/>
  <c r="J815" i="1"/>
  <c r="I815" i="1"/>
  <c r="H815" i="1"/>
  <c r="G815" i="1"/>
  <c r="D815" i="1"/>
  <c r="C815" i="1"/>
  <c r="C828" i="1" l="1"/>
  <c r="F848" i="1"/>
  <c r="C849" i="1" s="1"/>
  <c r="E815" i="1"/>
  <c r="C40" i="2"/>
  <c r="F812" i="1"/>
  <c r="F815" i="1" s="1"/>
  <c r="E31" i="2"/>
  <c r="C31" i="2"/>
  <c r="O803" i="1"/>
  <c r="F803" i="1" s="1"/>
  <c r="D27" i="2" s="1"/>
  <c r="J807" i="1"/>
  <c r="I807" i="1"/>
  <c r="H807" i="1"/>
  <c r="G807" i="1"/>
  <c r="E807" i="1"/>
  <c r="D807" i="1"/>
  <c r="C807" i="1"/>
  <c r="F801" i="1"/>
  <c r="D25" i="2" s="1"/>
  <c r="C816" i="1" l="1"/>
  <c r="O806" i="1"/>
  <c r="F806" i="1" s="1"/>
  <c r="D30" i="2" s="1"/>
  <c r="D31" i="2" s="1"/>
  <c r="E32" i="2" s="1"/>
  <c r="C18" i="2"/>
  <c r="C19" i="2" s="1"/>
  <c r="J794" i="1"/>
  <c r="I794" i="1"/>
  <c r="H794" i="1"/>
  <c r="G794" i="1"/>
  <c r="E794" i="1"/>
  <c r="D794" i="1"/>
  <c r="C794" i="1"/>
  <c r="F794" i="1"/>
  <c r="F807" i="1" l="1"/>
  <c r="C808" i="1" s="1"/>
  <c r="C795" i="1"/>
  <c r="J787" i="1"/>
  <c r="I787" i="1"/>
  <c r="H787" i="1"/>
  <c r="G787" i="1"/>
  <c r="E787" i="1"/>
  <c r="D787" i="1"/>
  <c r="C787" i="1"/>
  <c r="F786" i="1"/>
  <c r="F782" i="1"/>
  <c r="F787" i="1" l="1"/>
  <c r="C788" i="1" s="1"/>
  <c r="I774" i="1"/>
  <c r="H774" i="1"/>
  <c r="G774" i="1"/>
  <c r="F774" i="1"/>
  <c r="E774" i="1"/>
  <c r="D774" i="1"/>
  <c r="C774" i="1"/>
  <c r="J772" i="1"/>
  <c r="J770" i="1"/>
  <c r="J774" i="1" l="1"/>
  <c r="J775" i="1" s="1"/>
  <c r="J764" i="1"/>
  <c r="I766" i="1" l="1"/>
  <c r="H766" i="1"/>
  <c r="G766" i="1"/>
  <c r="E766" i="1"/>
  <c r="D766" i="1"/>
  <c r="C766" i="1"/>
  <c r="J766" i="1"/>
  <c r="F766" i="1" l="1"/>
  <c r="J767" i="1" s="1"/>
  <c r="I753" i="1"/>
  <c r="E753" i="1"/>
  <c r="D753" i="1"/>
  <c r="C753" i="1"/>
  <c r="F744" i="1"/>
  <c r="F752" i="1"/>
  <c r="C759" i="1"/>
  <c r="J748" i="1"/>
  <c r="J747" i="1"/>
  <c r="J745" i="1"/>
  <c r="H753" i="1"/>
  <c r="G753" i="1"/>
  <c r="J753" i="1" l="1"/>
  <c r="F753" i="1"/>
  <c r="C760" i="1"/>
  <c r="J736" i="1"/>
  <c r="I736" i="1"/>
  <c r="H736" i="1"/>
  <c r="G736" i="1"/>
  <c r="E736" i="1"/>
  <c r="D736" i="1"/>
  <c r="C736" i="1"/>
  <c r="F735" i="1"/>
  <c r="F731" i="1"/>
  <c r="F727" i="1"/>
  <c r="F723" i="1"/>
  <c r="J754" i="1" l="1"/>
  <c r="F736" i="1"/>
  <c r="J737" i="1" s="1"/>
  <c r="J716" i="1"/>
  <c r="I716" i="1"/>
  <c r="E716" i="1"/>
  <c r="D716" i="1"/>
  <c r="C716" i="1"/>
  <c r="F715" i="1"/>
  <c r="F716" i="1" s="1"/>
  <c r="F694" i="1"/>
  <c r="F698" i="1"/>
  <c r="F702" i="1"/>
  <c r="F706" i="1"/>
  <c r="J707" i="1"/>
  <c r="I707" i="1"/>
  <c r="E707" i="1"/>
  <c r="D707" i="1"/>
  <c r="C707" i="1"/>
  <c r="H716" i="1"/>
  <c r="G716" i="1"/>
  <c r="H707" i="1"/>
  <c r="G707" i="1"/>
  <c r="F707" i="1" l="1"/>
  <c r="C708" i="1" s="1"/>
  <c r="F717" i="1"/>
  <c r="J683" i="1" l="1"/>
  <c r="I683" i="1"/>
  <c r="H683" i="1"/>
  <c r="G683" i="1"/>
  <c r="E683" i="1"/>
  <c r="I686" i="1" s="1"/>
  <c r="D683" i="1"/>
  <c r="C683" i="1"/>
  <c r="F682" i="1"/>
  <c r="F683" i="1" s="1"/>
  <c r="I687" i="1" s="1"/>
  <c r="F669" i="1"/>
  <c r="F672" i="1" s="1"/>
  <c r="J672" i="1"/>
  <c r="I672" i="1"/>
  <c r="H672" i="1"/>
  <c r="G672" i="1"/>
  <c r="E672" i="1"/>
  <c r="D672" i="1"/>
  <c r="C672" i="1"/>
  <c r="I688" i="1" l="1"/>
  <c r="K688" i="1" s="1"/>
  <c r="C684" i="1"/>
  <c r="C673" i="1"/>
  <c r="E628" i="1"/>
  <c r="E631" i="1" s="1"/>
  <c r="F630" i="1"/>
  <c r="F631" i="1" s="1"/>
  <c r="C631" i="1"/>
  <c r="D631" i="1"/>
  <c r="G631" i="1"/>
  <c r="H631" i="1"/>
  <c r="I631" i="1"/>
  <c r="J631" i="1"/>
  <c r="E635" i="1"/>
  <c r="E639" i="1" s="1"/>
  <c r="F638" i="1"/>
  <c r="F639" i="1" s="1"/>
  <c r="C639" i="1"/>
  <c r="D639" i="1"/>
  <c r="G639" i="1"/>
  <c r="H639" i="1"/>
  <c r="I639" i="1"/>
  <c r="J639" i="1"/>
  <c r="E613" i="1"/>
  <c r="J647" i="1"/>
  <c r="I647" i="1"/>
  <c r="H647" i="1"/>
  <c r="G647" i="1"/>
  <c r="D647" i="1"/>
  <c r="C647" i="1"/>
  <c r="F646" i="1"/>
  <c r="F647" i="1" s="1"/>
  <c r="E643" i="1"/>
  <c r="E647" i="1" s="1"/>
  <c r="E651" i="1"/>
  <c r="E653" i="1" s="1"/>
  <c r="J653" i="1"/>
  <c r="I653" i="1"/>
  <c r="H653" i="1"/>
  <c r="G653" i="1"/>
  <c r="D653" i="1"/>
  <c r="C653" i="1"/>
  <c r="F652" i="1"/>
  <c r="F653" i="1" s="1"/>
  <c r="C632" i="1" l="1"/>
  <c r="C640" i="1"/>
  <c r="C648" i="1"/>
  <c r="C654" i="1"/>
  <c r="I616" i="1"/>
  <c r="F615" i="1"/>
  <c r="F616" i="1" s="1"/>
  <c r="J616" i="1"/>
  <c r="H616" i="1"/>
  <c r="G616" i="1"/>
  <c r="E616" i="1"/>
  <c r="D616" i="1"/>
  <c r="C616" i="1"/>
  <c r="C617" i="1" l="1"/>
  <c r="N607" i="1"/>
  <c r="I607" i="1" s="1"/>
  <c r="E602" i="1"/>
  <c r="E599" i="1"/>
  <c r="I601" i="1"/>
  <c r="J608" i="1"/>
  <c r="H608" i="1"/>
  <c r="G608" i="1"/>
  <c r="F608" i="1"/>
  <c r="D608" i="1"/>
  <c r="C608" i="1"/>
  <c r="I598" i="1"/>
  <c r="E608" i="1" l="1"/>
  <c r="I608" i="1"/>
  <c r="E587" i="1"/>
  <c r="I586" i="1"/>
  <c r="E583" i="1"/>
  <c r="J591" i="1"/>
  <c r="H591" i="1"/>
  <c r="G591" i="1"/>
  <c r="D591" i="1"/>
  <c r="C591" i="1"/>
  <c r="I590" i="1"/>
  <c r="F591" i="1"/>
  <c r="C609" i="1" l="1"/>
  <c r="E591" i="1"/>
  <c r="I591" i="1"/>
  <c r="C592" i="1" s="1"/>
  <c r="I578" i="1"/>
  <c r="I579" i="1" s="1"/>
  <c r="C579" i="1"/>
  <c r="E575" i="1"/>
  <c r="E579" i="1" s="1"/>
  <c r="J579" i="1"/>
  <c r="H579" i="1"/>
  <c r="G579" i="1"/>
  <c r="D579" i="1"/>
  <c r="F574" i="1"/>
  <c r="F579" i="1" l="1"/>
  <c r="C580" i="1" s="1"/>
  <c r="J565" i="1"/>
  <c r="I565" i="1"/>
  <c r="H565" i="1"/>
  <c r="G565" i="1"/>
  <c r="D565" i="1"/>
  <c r="C565" i="1"/>
  <c r="F564" i="1"/>
  <c r="E561" i="1"/>
  <c r="F560" i="1"/>
  <c r="E559" i="1"/>
  <c r="E565" i="1" s="1"/>
  <c r="F558" i="1"/>
  <c r="E548" i="1"/>
  <c r="E551" i="1" s="1"/>
  <c r="J551" i="1"/>
  <c r="I551" i="1"/>
  <c r="H551" i="1"/>
  <c r="G551" i="1"/>
  <c r="D551" i="1"/>
  <c r="C551" i="1"/>
  <c r="F550" i="1"/>
  <c r="F565" i="1" l="1"/>
  <c r="C566" i="1" s="1"/>
  <c r="F551" i="1"/>
  <c r="C552" i="1" s="1"/>
  <c r="J542" i="1"/>
  <c r="I542" i="1"/>
  <c r="D542" i="1"/>
  <c r="C542" i="1"/>
  <c r="E534" i="1"/>
  <c r="E531" i="1"/>
  <c r="F537" i="1"/>
  <c r="H542" i="1"/>
  <c r="G542" i="1"/>
  <c r="F541" i="1"/>
  <c r="F533" i="1"/>
  <c r="F530" i="1"/>
  <c r="F542" i="1" l="1"/>
  <c r="E542" i="1"/>
  <c r="J520" i="1"/>
  <c r="I520" i="1"/>
  <c r="D520" i="1"/>
  <c r="C520" i="1"/>
  <c r="F511" i="1"/>
  <c r="F515" i="1"/>
  <c r="E512" i="1"/>
  <c r="E520" i="1" s="1"/>
  <c r="H520" i="1"/>
  <c r="G520" i="1"/>
  <c r="F519" i="1"/>
  <c r="J503" i="1"/>
  <c r="I503" i="1"/>
  <c r="H503" i="1"/>
  <c r="G503" i="1"/>
  <c r="D503" i="1"/>
  <c r="C503" i="1"/>
  <c r="F502" i="1"/>
  <c r="F503" i="1" s="1"/>
  <c r="E503" i="1"/>
  <c r="C543" i="1" l="1"/>
  <c r="F520" i="1"/>
  <c r="C521" i="1" s="1"/>
  <c r="C504" i="1"/>
  <c r="E491" i="1"/>
  <c r="E495" i="1" s="1"/>
  <c r="J495" i="1"/>
  <c r="I495" i="1"/>
  <c r="H495" i="1"/>
  <c r="G495" i="1"/>
  <c r="D495" i="1"/>
  <c r="C495" i="1"/>
  <c r="F494" i="1"/>
  <c r="F495" i="1" s="1"/>
  <c r="C496" i="1" l="1"/>
  <c r="E484" i="1"/>
  <c r="E487" i="1" s="1"/>
  <c r="J487" i="1"/>
  <c r="I487" i="1"/>
  <c r="H487" i="1"/>
  <c r="G487" i="1"/>
  <c r="D487" i="1"/>
  <c r="C487" i="1"/>
  <c r="F486" i="1"/>
  <c r="F487" i="1" s="1"/>
  <c r="F479" i="1"/>
  <c r="F480" i="1" s="1"/>
  <c r="E478" i="1"/>
  <c r="J480" i="1"/>
  <c r="I480" i="1"/>
  <c r="H480" i="1"/>
  <c r="G480" i="1"/>
  <c r="E480" i="1"/>
  <c r="D480" i="1"/>
  <c r="C480" i="1"/>
  <c r="C488" i="1" l="1"/>
  <c r="C481" i="1"/>
  <c r="E470" i="1"/>
  <c r="E474" i="1" s="1"/>
  <c r="J474" i="1"/>
  <c r="I474" i="1"/>
  <c r="H474" i="1"/>
  <c r="G474" i="1"/>
  <c r="D474" i="1"/>
  <c r="C474" i="1"/>
  <c r="F473" i="1"/>
  <c r="F474" i="1" s="1"/>
  <c r="C475" i="1" l="1"/>
  <c r="J466" i="1"/>
  <c r="I466" i="1"/>
  <c r="H466" i="1"/>
  <c r="G466" i="1"/>
  <c r="E466" i="1"/>
  <c r="D466" i="1"/>
  <c r="C466" i="1"/>
  <c r="F465" i="1"/>
  <c r="F466" i="1" s="1"/>
  <c r="C467" i="1" l="1"/>
  <c r="E458" i="1"/>
  <c r="E460" i="1" s="1"/>
  <c r="J460" i="1"/>
  <c r="I460" i="1"/>
  <c r="H460" i="1"/>
  <c r="G460" i="1"/>
  <c r="D460" i="1"/>
  <c r="C460" i="1"/>
  <c r="F459" i="1"/>
  <c r="F460" i="1" s="1"/>
  <c r="C461" i="1" l="1"/>
  <c r="J454" i="1"/>
  <c r="I454" i="1"/>
  <c r="H454" i="1"/>
  <c r="G454" i="1"/>
  <c r="F454" i="1"/>
  <c r="E454" i="1"/>
  <c r="D454" i="1"/>
  <c r="C454" i="1"/>
  <c r="C455" i="1" l="1"/>
  <c r="J449" i="1"/>
  <c r="I449" i="1"/>
  <c r="H449" i="1"/>
  <c r="G449" i="1"/>
  <c r="F449" i="1"/>
  <c r="E449" i="1"/>
  <c r="D449" i="1"/>
  <c r="C449" i="1"/>
  <c r="C450" i="1" l="1"/>
  <c r="J444" i="1"/>
  <c r="I444" i="1"/>
  <c r="H444" i="1"/>
  <c r="G444" i="1"/>
  <c r="F444" i="1"/>
  <c r="E444" i="1"/>
  <c r="D444" i="1"/>
  <c r="C444" i="1"/>
  <c r="C445" i="1" l="1"/>
  <c r="J439" i="1"/>
  <c r="I439" i="1"/>
  <c r="H439" i="1"/>
  <c r="G439" i="1"/>
  <c r="E439" i="1"/>
  <c r="D439" i="1"/>
  <c r="C439" i="1"/>
  <c r="F438" i="1"/>
  <c r="F433" i="1"/>
  <c r="F439" i="1" l="1"/>
  <c r="C440" i="1" s="1"/>
  <c r="J426" i="1"/>
  <c r="I426" i="1"/>
  <c r="H426" i="1"/>
  <c r="G426" i="1"/>
  <c r="E426" i="1"/>
  <c r="D426" i="1"/>
  <c r="C426" i="1"/>
  <c r="F426" i="1"/>
  <c r="C427" i="1" l="1"/>
  <c r="J421" i="1"/>
  <c r="I421" i="1"/>
  <c r="H421" i="1"/>
  <c r="G421" i="1"/>
  <c r="E421" i="1"/>
  <c r="D421" i="1"/>
  <c r="C421" i="1"/>
  <c r="F420" i="1"/>
  <c r="F421" i="1" l="1"/>
  <c r="C422" i="1" s="1"/>
  <c r="F408" i="1"/>
  <c r="J413" i="1"/>
  <c r="I413" i="1"/>
  <c r="H413" i="1"/>
  <c r="G413" i="1"/>
  <c r="E413" i="1"/>
  <c r="D413" i="1"/>
  <c r="C413" i="1"/>
  <c r="F412" i="1"/>
  <c r="F404" i="1"/>
  <c r="F413" i="1" l="1"/>
  <c r="C414" i="1" s="1"/>
  <c r="F390" i="1"/>
  <c r="F382" i="1"/>
  <c r="J397" i="1"/>
  <c r="I397" i="1"/>
  <c r="H397" i="1"/>
  <c r="G397" i="1"/>
  <c r="E397" i="1"/>
  <c r="D397" i="1"/>
  <c r="C397" i="1"/>
  <c r="F396" i="1"/>
  <c r="F397" i="1" l="1"/>
  <c r="C398" i="1" s="1"/>
  <c r="F383" i="1"/>
  <c r="J383" i="1"/>
  <c r="I383" i="1"/>
  <c r="H383" i="1"/>
  <c r="G383" i="1"/>
  <c r="E383" i="1"/>
  <c r="D383" i="1"/>
  <c r="C383" i="1"/>
  <c r="C384" i="1" l="1"/>
  <c r="F367" i="1"/>
  <c r="F371" i="1"/>
  <c r="J374" i="1"/>
  <c r="I374" i="1"/>
  <c r="H374" i="1"/>
  <c r="G374" i="1"/>
  <c r="E374" i="1"/>
  <c r="D374" i="1"/>
  <c r="C374" i="1"/>
  <c r="F374" i="1" l="1"/>
  <c r="C375" i="1" s="1"/>
  <c r="C356" i="1"/>
  <c r="J356" i="1"/>
  <c r="I356" i="1"/>
  <c r="H356" i="1"/>
  <c r="G356" i="1"/>
  <c r="F356" i="1"/>
  <c r="E356" i="1"/>
  <c r="D356" i="1"/>
  <c r="C357" i="1" l="1"/>
  <c r="F334" i="1"/>
  <c r="J343" i="1"/>
  <c r="I343" i="1"/>
  <c r="H343" i="1"/>
  <c r="G343" i="1"/>
  <c r="E343" i="1"/>
  <c r="D343" i="1"/>
  <c r="C343" i="1"/>
  <c r="F330" i="1"/>
  <c r="F343" i="1" l="1"/>
  <c r="C344" i="1" s="1"/>
  <c r="J324" i="1"/>
  <c r="I324" i="1"/>
  <c r="H324" i="1"/>
  <c r="G324" i="1"/>
  <c r="F324" i="1"/>
  <c r="E324" i="1"/>
  <c r="D324" i="1"/>
  <c r="C324" i="1"/>
  <c r="C325" i="1" l="1"/>
  <c r="C313" i="1"/>
  <c r="D313" i="1"/>
  <c r="F301" i="1" l="1"/>
  <c r="J313" i="1"/>
  <c r="I313" i="1"/>
  <c r="H313" i="1"/>
  <c r="G313" i="1"/>
  <c r="E313" i="1"/>
  <c r="F313" i="1" l="1"/>
  <c r="C314" i="1" s="1"/>
  <c r="L326" i="1" s="1"/>
  <c r="F293" i="1"/>
  <c r="F295" i="1" s="1"/>
  <c r="J295" i="1"/>
  <c r="I295" i="1"/>
  <c r="H295" i="1"/>
  <c r="G295" i="1"/>
  <c r="E295" i="1"/>
  <c r="E296" i="1" l="1"/>
  <c r="J283" i="1"/>
  <c r="I283" i="1"/>
  <c r="H283" i="1"/>
  <c r="G283" i="1"/>
  <c r="F283" i="1"/>
  <c r="E283" i="1"/>
  <c r="E284" i="1" l="1"/>
  <c r="J278" i="1"/>
  <c r="I278" i="1"/>
  <c r="H278" i="1"/>
  <c r="G278" i="1"/>
  <c r="F278" i="1"/>
  <c r="E278" i="1"/>
  <c r="E279" i="1" l="1"/>
  <c r="J273" i="1"/>
  <c r="I273" i="1"/>
  <c r="H273" i="1"/>
  <c r="G273" i="1"/>
  <c r="E273" i="1"/>
  <c r="F272" i="1"/>
  <c r="F273" i="1" s="1"/>
  <c r="E274" i="1" l="1"/>
  <c r="J267" i="1"/>
  <c r="I267" i="1"/>
  <c r="H267" i="1"/>
  <c r="G267" i="1"/>
  <c r="E267" i="1"/>
  <c r="F264" i="1"/>
  <c r="F267" i="1" s="1"/>
  <c r="E268" i="1" l="1"/>
  <c r="E257" i="1"/>
  <c r="E259" i="1" s="1"/>
  <c r="J259" i="1"/>
  <c r="I259" i="1"/>
  <c r="H259" i="1"/>
  <c r="G259" i="1"/>
  <c r="F258" i="1"/>
  <c r="F259" i="1" s="1"/>
  <c r="E250" i="1"/>
  <c r="F251" i="1"/>
  <c r="E252" i="1"/>
  <c r="J253" i="1"/>
  <c r="I253" i="1"/>
  <c r="H253" i="1"/>
  <c r="G253" i="1"/>
  <c r="F249" i="1"/>
  <c r="E253" i="1" l="1"/>
  <c r="E260" i="1"/>
  <c r="F253" i="1"/>
  <c r="J244" i="1"/>
  <c r="I244" i="1"/>
  <c r="H244" i="1"/>
  <c r="G244" i="1"/>
  <c r="F244" i="1"/>
  <c r="E244" i="1"/>
  <c r="E254" i="1" l="1"/>
  <c r="E245" i="1"/>
  <c r="J239" i="1"/>
  <c r="I239" i="1"/>
  <c r="H239" i="1"/>
  <c r="G239" i="1"/>
  <c r="E239" i="1"/>
  <c r="F236" i="1"/>
  <c r="F239" i="1" s="1"/>
  <c r="E240" i="1" l="1"/>
  <c r="J231" i="1"/>
  <c r="I231" i="1"/>
  <c r="E231" i="1"/>
  <c r="F228" i="1"/>
  <c r="F231" i="1" s="1"/>
  <c r="H231" i="1"/>
  <c r="G231" i="1"/>
  <c r="E232" i="1" l="1"/>
  <c r="J221" i="1"/>
  <c r="I221" i="1"/>
  <c r="H221" i="1"/>
  <c r="G221" i="1"/>
  <c r="F221" i="1"/>
  <c r="E221" i="1"/>
  <c r="E222" i="1" l="1"/>
  <c r="J216" i="1"/>
  <c r="I216" i="1"/>
  <c r="H216" i="1"/>
  <c r="G216" i="1"/>
  <c r="F216" i="1"/>
  <c r="E216" i="1"/>
  <c r="E217" i="1" l="1"/>
  <c r="J211" i="1"/>
  <c r="I211" i="1"/>
  <c r="H211" i="1"/>
  <c r="G211" i="1"/>
  <c r="F211" i="1"/>
  <c r="E211" i="1"/>
  <c r="E212" i="1" l="1"/>
  <c r="I196" i="1"/>
  <c r="J196" i="1"/>
  <c r="J206" i="1"/>
  <c r="I206" i="1"/>
  <c r="E206" i="1"/>
  <c r="E196" i="1"/>
  <c r="F205" i="1"/>
  <c r="F206" i="1" s="1"/>
  <c r="F195" i="1" l="1"/>
  <c r="F196" i="1" s="1"/>
  <c r="J185" i="1" l="1"/>
  <c r="I185" i="1"/>
  <c r="H185" i="1"/>
  <c r="G185" i="1"/>
  <c r="F185" i="1"/>
  <c r="E185" i="1"/>
  <c r="E186" i="1" l="1"/>
  <c r="J180" i="1"/>
  <c r="I180" i="1"/>
  <c r="H180" i="1"/>
  <c r="H196" i="1" s="1"/>
  <c r="H206" i="1" s="1"/>
  <c r="G180" i="1"/>
  <c r="G196" i="1" s="1"/>
  <c r="F180" i="1"/>
  <c r="E180" i="1"/>
  <c r="G206" i="1" l="1"/>
  <c r="E207" i="1" s="1"/>
  <c r="E181" i="1"/>
  <c r="J175" i="1"/>
  <c r="I175" i="1"/>
  <c r="H175" i="1"/>
  <c r="G175" i="1"/>
  <c r="E175" i="1"/>
  <c r="F174" i="1"/>
  <c r="F175" i="1" s="1"/>
  <c r="E176" i="1" l="1"/>
  <c r="J168" i="1"/>
  <c r="I168" i="1"/>
  <c r="H168" i="1"/>
  <c r="G168" i="1"/>
  <c r="E168" i="1"/>
  <c r="F167" i="1"/>
  <c r="F168" i="1" s="1"/>
  <c r="E169" i="1" l="1"/>
  <c r="F156" i="1"/>
  <c r="J157" i="1"/>
  <c r="I157" i="1"/>
  <c r="H157" i="1"/>
  <c r="G157" i="1"/>
  <c r="E157" i="1"/>
  <c r="F153" i="1"/>
  <c r="F150" i="1"/>
  <c r="F157" i="1" l="1"/>
  <c r="E158" i="1" s="1"/>
  <c r="J142" i="1"/>
  <c r="I142" i="1"/>
  <c r="H142" i="1"/>
  <c r="G142" i="1"/>
  <c r="E142" i="1"/>
  <c r="F142" i="1"/>
  <c r="N134" i="1"/>
  <c r="F134" i="1" s="1"/>
  <c r="J136" i="1"/>
  <c r="I136" i="1"/>
  <c r="H136" i="1"/>
  <c r="G136" i="1"/>
  <c r="E136" i="1"/>
  <c r="N130" i="1"/>
  <c r="F130" i="1" s="1"/>
  <c r="F136" i="1" l="1"/>
  <c r="E137" i="1" s="1"/>
  <c r="E138" i="1" s="1"/>
  <c r="E143" i="1"/>
  <c r="E144" i="1" s="1"/>
  <c r="N122" i="1"/>
  <c r="F122" i="1" s="1"/>
  <c r="F124" i="1" s="1"/>
  <c r="J124" i="1"/>
  <c r="I124" i="1"/>
  <c r="H124" i="1"/>
  <c r="G124" i="1"/>
  <c r="E124" i="1"/>
  <c r="E125" i="1" l="1"/>
  <c r="E126" i="1" s="1"/>
  <c r="J116" i="1"/>
  <c r="I116" i="1"/>
  <c r="H116" i="1"/>
  <c r="G116" i="1"/>
  <c r="E116" i="1"/>
  <c r="N114" i="1"/>
  <c r="F114" i="1" s="1"/>
  <c r="F98" i="1"/>
  <c r="J110" i="1"/>
  <c r="I110" i="1"/>
  <c r="H110" i="1"/>
  <c r="G110" i="1"/>
  <c r="E110" i="1"/>
  <c r="F108" i="1"/>
  <c r="F116" i="1" l="1"/>
  <c r="E117" i="1" s="1"/>
  <c r="F110" i="1"/>
  <c r="E111" i="1" s="1"/>
  <c r="F90" i="1"/>
  <c r="F91" i="1" s="1"/>
  <c r="J91" i="1"/>
  <c r="I91" i="1"/>
  <c r="H91" i="1"/>
  <c r="G91" i="1"/>
  <c r="E91" i="1"/>
  <c r="E118" i="1" l="1"/>
  <c r="E92" i="1"/>
  <c r="J83" i="1"/>
  <c r="I83" i="1"/>
  <c r="H83" i="1"/>
  <c r="G83" i="1"/>
  <c r="E83" i="1"/>
  <c r="F83" i="1"/>
  <c r="E84" i="1" l="1"/>
  <c r="F74" i="1"/>
  <c r="F71" i="1"/>
  <c r="J77" i="1"/>
  <c r="I77" i="1"/>
  <c r="H77" i="1"/>
  <c r="G77" i="1"/>
  <c r="E77" i="1"/>
  <c r="F77" i="1" l="1"/>
  <c r="E78" i="1" s="1"/>
  <c r="F61" i="1"/>
  <c r="F59" i="1"/>
  <c r="F57" i="1"/>
  <c r="F55" i="1"/>
  <c r="F53" i="1"/>
  <c r="F51" i="1"/>
  <c r="F63" i="1"/>
  <c r="F49" i="1"/>
  <c r="F46" i="1"/>
  <c r="J67" i="1"/>
  <c r="I67" i="1"/>
  <c r="H67" i="1"/>
  <c r="G67" i="1"/>
  <c r="E67" i="1"/>
  <c r="F67" i="1" l="1"/>
  <c r="E68" i="1" s="1"/>
  <c r="F39" i="1"/>
  <c r="F30" i="1"/>
  <c r="F31" i="1"/>
  <c r="F38" i="1"/>
  <c r="F36" i="1"/>
  <c r="F34" i="1"/>
  <c r="J42" i="1"/>
  <c r="I42" i="1"/>
  <c r="H42" i="1"/>
  <c r="G42" i="1"/>
  <c r="E42" i="1"/>
  <c r="F42" i="1" l="1"/>
  <c r="E43" i="1" s="1"/>
  <c r="F24" i="1"/>
  <c r="F2" i="1"/>
  <c r="F21" i="1"/>
  <c r="F19" i="1"/>
  <c r="F17" i="1"/>
  <c r="F15" i="1"/>
  <c r="F13" i="1"/>
  <c r="F11" i="1"/>
  <c r="F9" i="1"/>
  <c r="F7" i="1"/>
  <c r="F5" i="1"/>
  <c r="J26" i="1"/>
  <c r="I26" i="1"/>
  <c r="H26" i="1"/>
  <c r="G26" i="1"/>
  <c r="E26" i="1"/>
  <c r="F26" i="1" l="1"/>
  <c r="E27" i="1" s="1"/>
  <c r="L1406" i="1"/>
</calcChain>
</file>

<file path=xl/sharedStrings.xml><?xml version="1.0" encoding="utf-8"?>
<sst xmlns="http://schemas.openxmlformats.org/spreadsheetml/2006/main" count="5278" uniqueCount="856">
  <si>
    <t>날짜</t>
    <phoneticPr fontId="2" type="noConversion"/>
  </si>
  <si>
    <t>구분</t>
    <phoneticPr fontId="2" type="noConversion"/>
  </si>
  <si>
    <t>통행료</t>
    <phoneticPr fontId="2" type="noConversion"/>
  </si>
  <si>
    <t>유류비</t>
    <phoneticPr fontId="2" type="noConversion"/>
  </si>
  <si>
    <t>숙박비</t>
    <phoneticPr fontId="2" type="noConversion"/>
  </si>
  <si>
    <t>잡자재</t>
    <phoneticPr fontId="2" type="noConversion"/>
  </si>
  <si>
    <t>출장비</t>
    <phoneticPr fontId="2" type="noConversion"/>
  </si>
  <si>
    <t>식대</t>
    <phoneticPr fontId="2" type="noConversion"/>
  </si>
  <si>
    <t>내용</t>
    <phoneticPr fontId="2" type="noConversion"/>
  </si>
  <si>
    <t>월요일</t>
  </si>
  <si>
    <t>월요일</t>
    <phoneticPr fontId="2" type="noConversion"/>
  </si>
  <si>
    <t>화요일</t>
  </si>
  <si>
    <t>수요일</t>
  </si>
  <si>
    <t>목요일</t>
  </si>
  <si>
    <t>금요일</t>
  </si>
  <si>
    <t>토요일</t>
  </si>
  <si>
    <t>일요일</t>
  </si>
  <si>
    <t>소계</t>
    <phoneticPr fontId="2" type="noConversion"/>
  </si>
  <si>
    <t>합계</t>
    <phoneticPr fontId="2" type="noConversion"/>
  </si>
  <si>
    <t>오피넷 전월 경유평균단가 : 1,385.42 원/리터</t>
    <phoneticPr fontId="2" type="noConversion"/>
  </si>
  <si>
    <t>12km x 1.385.42원/리터 ÷ 9km/리터</t>
    <phoneticPr fontId="2" type="noConversion"/>
  </si>
  <si>
    <t>295km x 1.385.42원/리터 ÷ 9km/리터</t>
    <phoneticPr fontId="2" type="noConversion"/>
  </si>
  <si>
    <t>12km x 1,398.40원/리터 ÷ 9km/리터</t>
    <phoneticPr fontId="2" type="noConversion"/>
  </si>
  <si>
    <t>295km x 1,398.40원/리터 ÷ 9km/리터</t>
    <phoneticPr fontId="2" type="noConversion"/>
  </si>
  <si>
    <t>6km x 1,398.40원/리터 ÷ 9km/리터</t>
    <phoneticPr fontId="2" type="noConversion"/>
  </si>
  <si>
    <t>금요일</t>
    <phoneticPr fontId="2" type="noConversion"/>
  </si>
  <si>
    <t>오피넷 1월 경유평균단가 : 1,398.40원/리터</t>
    <phoneticPr fontId="2" type="noConversion"/>
  </si>
  <si>
    <t>완주 &gt; 북부산</t>
    <phoneticPr fontId="2" type="noConversion"/>
  </si>
  <si>
    <t>남양산 &gt; 완주</t>
    <phoneticPr fontId="2" type="noConversion"/>
  </si>
  <si>
    <t>토요일</t>
    <phoneticPr fontId="2" type="noConversion"/>
  </si>
  <si>
    <t>일요일</t>
    <phoneticPr fontId="2" type="noConversion"/>
  </si>
  <si>
    <t>월요일</t>
    <phoneticPr fontId="2" type="noConversion"/>
  </si>
  <si>
    <t>화요일</t>
    <phoneticPr fontId="2" type="noConversion"/>
  </si>
  <si>
    <t>수요일</t>
    <phoneticPr fontId="2" type="noConversion"/>
  </si>
  <si>
    <t>완주 &gt; 산인</t>
    <phoneticPr fontId="2" type="noConversion"/>
  </si>
  <si>
    <t>마산 &gt; 남양산</t>
    <phoneticPr fontId="2" type="noConversion"/>
  </si>
  <si>
    <t>완주 &gt; 남양산</t>
    <phoneticPr fontId="2" type="noConversion"/>
  </si>
  <si>
    <t>수요일</t>
    <phoneticPr fontId="2" type="noConversion"/>
  </si>
  <si>
    <t>통행료 : 양산 -&gt; 경주</t>
    <phoneticPr fontId="2" type="noConversion"/>
  </si>
  <si>
    <t>통행료 : 경주 -&gt; 진영</t>
    <phoneticPr fontId="2" type="noConversion"/>
  </si>
  <si>
    <t>통행료 : 진영 -&gt; 양산</t>
    <phoneticPr fontId="2" type="noConversion"/>
  </si>
  <si>
    <t>오피넷 2월 경유평균단가 : 1369.85원/리터</t>
    <phoneticPr fontId="2" type="noConversion"/>
  </si>
  <si>
    <t>247km x 1369.85원/리터 ÷ 9km/리터</t>
    <phoneticPr fontId="2" type="noConversion"/>
  </si>
  <si>
    <t>석식(서울 양제동)</t>
    <phoneticPr fontId="2" type="noConversion"/>
  </si>
  <si>
    <t>숙박</t>
    <phoneticPr fontId="2" type="noConversion"/>
  </si>
  <si>
    <t>36km x 1065.79원/리터 ÷ 9km/리터</t>
    <phoneticPr fontId="2" type="noConversion"/>
  </si>
  <si>
    <t>톨비 : 남양산 -&gt; 서울산</t>
    <phoneticPr fontId="2" type="noConversion"/>
  </si>
  <si>
    <t>지하철 : 수서 -&gt; 양재</t>
    <phoneticPr fontId="2" type="noConversion"/>
  </si>
  <si>
    <t>지하철 : 양재 -&gt; 남부터미널</t>
    <phoneticPr fontId="2" type="noConversion"/>
  </si>
  <si>
    <t>지하철 : 남부터미널 -&gt; 양재</t>
    <phoneticPr fontId="2" type="noConversion"/>
  </si>
  <si>
    <t>목요일</t>
    <phoneticPr fontId="2" type="noConversion"/>
  </si>
  <si>
    <t>지하철 : 양재 -&gt; 수서</t>
    <phoneticPr fontId="2" type="noConversion"/>
  </si>
  <si>
    <t>톨비 : 서울산 -&gt; 남양산</t>
    <phoneticPr fontId="2" type="noConversion"/>
  </si>
  <si>
    <t>석식(울산ktx역)</t>
    <phoneticPr fontId="2" type="noConversion"/>
  </si>
  <si>
    <t>주차료(6/17~6/18)</t>
    <phoneticPr fontId="2" type="noConversion"/>
  </si>
  <si>
    <t>톨비 : 양산 -&gt; 진영</t>
    <phoneticPr fontId="2" type="noConversion"/>
  </si>
  <si>
    <t>톨비 : 진영 -&gt; 양산</t>
    <phoneticPr fontId="2" type="noConversion"/>
  </si>
  <si>
    <t>90km x 1065.79원/리터 ÷ 9km/리터</t>
    <phoneticPr fontId="2" type="noConversion"/>
  </si>
  <si>
    <t>SR(기차예매) : 울산 -&gt; 수서</t>
    <phoneticPr fontId="2" type="noConversion"/>
  </si>
  <si>
    <t>SR(기차예매) : 수서 -&gt; 울산</t>
    <phoneticPr fontId="2" type="noConversion"/>
  </si>
  <si>
    <t>첨부</t>
    <phoneticPr fontId="2" type="noConversion"/>
  </si>
  <si>
    <t>첨부01</t>
    <phoneticPr fontId="2" type="noConversion"/>
  </si>
  <si>
    <t>첨부02</t>
    <phoneticPr fontId="2" type="noConversion"/>
  </si>
  <si>
    <t>-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</si>
  <si>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</si>
  <si>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</si>
  <si>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</si>
  <si>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첨부06</t>
    <phoneticPr fontId="2" type="noConversion"/>
  </si>
  <si>
    <t>첨부07</t>
    <phoneticPr fontId="2" type="noConversion"/>
  </si>
  <si>
    <t>첨부08</t>
    <phoneticPr fontId="2" type="noConversion"/>
  </si>
  <si>
    <t>첨부09</t>
    <phoneticPr fontId="2" type="noConversion"/>
  </si>
  <si>
    <t>오피넷 5월 경유평균단가 : 1065.79원/리터</t>
    <phoneticPr fontId="2" type="noConversion"/>
  </si>
  <si>
    <t>첨부10</t>
    <phoneticPr fontId="2" type="noConversion"/>
  </si>
  <si>
    <t>총계</t>
    <phoneticPr fontId="2" type="noConversion"/>
  </si>
  <si>
    <t>교통비</t>
    <phoneticPr fontId="2" type="noConversion"/>
  </si>
  <si>
    <t>오피넷 5월 경유평균단가 : 1127.90원/리터</t>
    <phoneticPr fontId="2" type="noConversion"/>
  </si>
  <si>
    <t>90km x 1,127.90원/리터 ÷ 9km/리터</t>
    <phoneticPr fontId="2" type="noConversion"/>
  </si>
  <si>
    <t>화요일</t>
    <phoneticPr fontId="2" type="noConversion"/>
  </si>
  <si>
    <t>금요일</t>
    <phoneticPr fontId="2" type="noConversion"/>
  </si>
  <si>
    <t>야근 석식대</t>
    <phoneticPr fontId="2" type="noConversion"/>
  </si>
  <si>
    <t>첨부01</t>
    <phoneticPr fontId="2" type="noConversion"/>
  </si>
  <si>
    <t>톨비 : 양산 -&gt; 사상</t>
    <phoneticPr fontId="2" type="noConversion"/>
  </si>
  <si>
    <t>톨비 : 사상 -&gt; 진영</t>
    <phoneticPr fontId="2" type="noConversion"/>
  </si>
  <si>
    <t>115km x 1,127.90원/리터 ÷ 9km/리터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</si>
  <si>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</si>
  <si>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</si>
  <si>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</si>
  <si>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톨비 : 양산 -&gt; 진영</t>
    <phoneticPr fontId="2" type="noConversion"/>
  </si>
  <si>
    <t>화요일</t>
    <phoneticPr fontId="2" type="noConversion"/>
  </si>
  <si>
    <t>월요일</t>
    <phoneticPr fontId="2" type="noConversion"/>
  </si>
  <si>
    <t>월요일</t>
    <phoneticPr fontId="2" type="noConversion"/>
  </si>
  <si>
    <t>첨부02</t>
    <phoneticPr fontId="2" type="noConversion"/>
  </si>
  <si>
    <t>첨부03</t>
    <phoneticPr fontId="2" type="noConversion"/>
  </si>
  <si>
    <t>톨비 : 양산 -&gt; 동창원</t>
    <phoneticPr fontId="2" type="noConversion"/>
  </si>
  <si>
    <t>톨비 : 진영 -&gt; 진영</t>
    <phoneticPr fontId="2" type="noConversion"/>
  </si>
  <si>
    <t>오피넷 7월 경유평균단가 : 1162.9원/리터</t>
    <phoneticPr fontId="2" type="noConversion"/>
  </si>
  <si>
    <t>첨부04</t>
    <phoneticPr fontId="2" type="noConversion"/>
  </si>
  <si>
    <t>첨부05</t>
    <phoneticPr fontId="2" type="noConversion"/>
  </si>
  <si>
    <t>첨부06</t>
    <phoneticPr fontId="2" type="noConversion"/>
  </si>
  <si>
    <t>첨부07</t>
    <phoneticPr fontId="2" type="noConversion"/>
  </si>
  <si>
    <t>128km x 1162.9원/리터 ÷ 9km/리터</t>
    <phoneticPr fontId="2" type="noConversion"/>
  </si>
  <si>
    <t>94km x 1162.9원/리터 ÷ 9km/리터</t>
    <phoneticPr fontId="2" type="noConversion"/>
  </si>
  <si>
    <t>합계</t>
    <phoneticPr fontId="2" type="noConversion"/>
  </si>
  <si>
    <t>톨비 : 진영 -&gt; 양산</t>
    <phoneticPr fontId="2" type="noConversion"/>
  </si>
  <si>
    <t>톨비 : 남양산 -&gt; 진영</t>
    <phoneticPr fontId="2" type="noConversion"/>
  </si>
  <si>
    <t>첨부03</t>
    <phoneticPr fontId="2" type="noConversion"/>
  </si>
  <si>
    <t>중식대</t>
    <phoneticPr fontId="2" type="noConversion"/>
  </si>
  <si>
    <t>128km x 1163.56원/리터 ÷ 9km/리터</t>
    <phoneticPr fontId="2" type="noConversion"/>
  </si>
  <si>
    <t>오피넷 8월 경유평균단가 : 1163.56원/리터</t>
    <phoneticPr fontId="2" type="noConversion"/>
  </si>
  <si>
    <t>톨비 : 진   영 -&gt; 양산</t>
    <phoneticPr fontId="2" type="noConversion"/>
  </si>
  <si>
    <t>톨비 : 양   산 -&gt; 진영</t>
    <phoneticPr fontId="2" type="noConversion"/>
  </si>
  <si>
    <t>90km x 1163.56원/리터 ÷ 9km/리터</t>
    <phoneticPr fontId="2" type="noConversion"/>
  </si>
  <si>
    <t>화요일</t>
    <phoneticPr fontId="2" type="noConversion"/>
  </si>
  <si>
    <t>첨부03</t>
    <phoneticPr fontId="2" type="noConversion"/>
  </si>
  <si>
    <t>톨비 : 진   영 -&gt; 진영</t>
    <phoneticPr fontId="2" type="noConversion"/>
  </si>
  <si>
    <t>택배비</t>
    <phoneticPr fontId="2" type="noConversion"/>
  </si>
  <si>
    <t>로봇 업데이트용 에뮬레이트 반납 택배 발송</t>
    <phoneticPr fontId="2" type="noConversion"/>
  </si>
  <si>
    <t>두산 비젼 대여 반납 택배 발송</t>
    <phoneticPr fontId="2" type="noConversion"/>
  </si>
  <si>
    <t>택배보험(200만원이상) 적용 금액</t>
    <phoneticPr fontId="2" type="noConversion"/>
  </si>
  <si>
    <t>심태양CJ, 정예희GJ</t>
    <phoneticPr fontId="2" type="noConversion"/>
  </si>
  <si>
    <t>첨부02</t>
    <phoneticPr fontId="2" type="noConversion"/>
  </si>
  <si>
    <t>양산-장유</t>
    <phoneticPr fontId="2" type="noConversion"/>
  </si>
  <si>
    <t>창원</t>
    <phoneticPr fontId="2" type="noConversion"/>
  </si>
  <si>
    <t>장유-진례</t>
    <phoneticPr fontId="2" type="noConversion"/>
  </si>
  <si>
    <t>진영-물금</t>
    <phoneticPr fontId="2" type="noConversion"/>
  </si>
  <si>
    <t>오피넷 09월 경유평균단가 : 1154.45원/리터</t>
    <phoneticPr fontId="2" type="noConversion"/>
  </si>
  <si>
    <t>첨부04</t>
    <phoneticPr fontId="2" type="noConversion"/>
  </si>
  <si>
    <t>138km x 1154.45원/리터 ÷ 9km/리터</t>
    <phoneticPr fontId="2" type="noConversion"/>
  </si>
  <si>
    <t>첨부05</t>
    <phoneticPr fontId="2" type="noConversion"/>
  </si>
  <si>
    <t>첨부06</t>
    <phoneticPr fontId="2" type="noConversion"/>
  </si>
  <si>
    <t>남양산-낙동JC</t>
    <phoneticPr fontId="2" type="noConversion"/>
  </si>
  <si>
    <t>낙동JC2-청주</t>
    <phoneticPr fontId="2" type="noConversion"/>
  </si>
  <si>
    <t>문의-영천JC</t>
    <phoneticPr fontId="2" type="noConversion"/>
  </si>
  <si>
    <t>영천JC2-남양산</t>
    <phoneticPr fontId="2" type="noConversion"/>
  </si>
  <si>
    <t>첨부07</t>
    <phoneticPr fontId="2" type="noConversion"/>
  </si>
  <si>
    <t>중식</t>
    <phoneticPr fontId="2" type="noConversion"/>
  </si>
  <si>
    <t>석식</t>
    <phoneticPr fontId="2" type="noConversion"/>
  </si>
  <si>
    <t>첨부08</t>
    <phoneticPr fontId="2" type="noConversion"/>
  </si>
  <si>
    <t>첨부09</t>
    <phoneticPr fontId="2" type="noConversion"/>
  </si>
  <si>
    <t>첨부10</t>
    <phoneticPr fontId="2" type="noConversion"/>
  </si>
  <si>
    <t>조식</t>
    <phoneticPr fontId="2" type="noConversion"/>
  </si>
  <si>
    <t>첨부11</t>
    <phoneticPr fontId="2" type="noConversion"/>
  </si>
  <si>
    <t>550km x 1133.96원/리터 ÷ 9km/리터</t>
    <phoneticPr fontId="2" type="noConversion"/>
  </si>
  <si>
    <t>SPS20047</t>
  </si>
  <si>
    <t>SPS20047</t>
    <phoneticPr fontId="2" type="noConversion"/>
  </si>
  <si>
    <t>SPS20096</t>
  </si>
  <si>
    <t>SPS20096</t>
    <phoneticPr fontId="2" type="noConversion"/>
  </si>
  <si>
    <t>오피넷 10월 경유평균단가 : 1133.96원/리터</t>
    <phoneticPr fontId="2" type="noConversion"/>
  </si>
  <si>
    <t>김충헌SM, 심태양 CJ</t>
    <phoneticPr fontId="2" type="noConversion"/>
  </si>
  <si>
    <t>입금확인</t>
    <phoneticPr fontId="2" type="noConversion"/>
  </si>
  <si>
    <t>심태양 CJ</t>
    <phoneticPr fontId="2" type="noConversion"/>
  </si>
  <si>
    <t>함경철BJ, 심태양 CJ</t>
    <phoneticPr fontId="2" type="noConversion"/>
  </si>
  <si>
    <t>첨부02</t>
  </si>
  <si>
    <t>첨부03</t>
  </si>
  <si>
    <t>첨부04</t>
  </si>
  <si>
    <t>첨부05</t>
  </si>
  <si>
    <t>첨부06</t>
  </si>
  <si>
    <t>심태양 CJ, 강익훈SW</t>
    <phoneticPr fontId="2" type="noConversion"/>
  </si>
  <si>
    <t>오피넷 11월 경유평균단가 : 1,119.60원/리터</t>
    <phoneticPr fontId="2" type="noConversion"/>
  </si>
  <si>
    <t>첨부07</t>
  </si>
  <si>
    <t>톨비 (양산&gt;진영)</t>
    <phoneticPr fontId="2" type="noConversion"/>
  </si>
  <si>
    <t>톨비 (진영&gt;양산)</t>
    <phoneticPr fontId="2" type="noConversion"/>
  </si>
  <si>
    <t>94.85km x 1,119.60원/리터 ÷ 9km/리터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</si>
  <si>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</si>
  <si>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</si>
  <si>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</si>
  <si>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</si>
  <si>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94.86km x 1,119.60원/리터 ÷ 9km/리터</t>
    <phoneticPr fontId="2" type="noConversion"/>
  </si>
  <si>
    <t>택배비</t>
    <phoneticPr fontId="2" type="noConversion"/>
  </si>
  <si>
    <t>비젼 케이블 택배 발송</t>
    <phoneticPr fontId="2" type="noConversion"/>
  </si>
  <si>
    <t>현대/삼표 당사 방문 고객사 중식</t>
    <phoneticPr fontId="2" type="noConversion"/>
  </si>
  <si>
    <t>톨비 (양산-상동-김해-양산)</t>
    <phoneticPr fontId="2" type="noConversion"/>
  </si>
  <si>
    <t>오피넷 1월 경유평균단가 : 1,242.35원/리터</t>
    <phoneticPr fontId="2" type="noConversion"/>
  </si>
  <si>
    <t>96m x 전울평균단가 ÷ 9km/리터</t>
    <phoneticPr fontId="2" type="noConversion"/>
  </si>
  <si>
    <t>톨비 (양산&lt;&gt;울산)</t>
    <phoneticPr fontId="2" type="noConversion"/>
  </si>
  <si>
    <t>70km x 전월평균단가 ÷ 9km/리터</t>
    <phoneticPr fontId="2" type="noConversion"/>
  </si>
  <si>
    <t>110km x 전월평균단가 ÷ 9km/리터</t>
    <phoneticPr fontId="2" type="noConversion"/>
  </si>
  <si>
    <t>창원 전기연구소 방문</t>
    <phoneticPr fontId="2" type="noConversion"/>
  </si>
  <si>
    <t>외근 중식</t>
    <phoneticPr fontId="2" type="noConversion"/>
  </si>
  <si>
    <t>210km x 전월평균단가 ÷ 9km/리터</t>
    <phoneticPr fontId="2" type="noConversion"/>
  </si>
  <si>
    <t>톨비 (양산&lt;&gt;진영)</t>
    <phoneticPr fontId="2" type="noConversion"/>
  </si>
  <si>
    <t>톨비 (양산&lt;&gt;경주)</t>
    <phoneticPr fontId="2" type="noConversion"/>
  </si>
  <si>
    <t>양산 &lt;&gt; 울산</t>
    <phoneticPr fontId="2" type="noConversion"/>
  </si>
  <si>
    <t>65km x 전월평균단가 ÷ 9km/리터</t>
    <phoneticPr fontId="2" type="noConversion"/>
  </si>
  <si>
    <t>화물택배</t>
    <phoneticPr fontId="2" type="noConversion"/>
  </si>
  <si>
    <t>추가 소재 수령</t>
    <phoneticPr fontId="2" type="noConversion"/>
  </si>
  <si>
    <t>오피넷 4월 경유평균단가 : 1,332.74원/리터</t>
    <phoneticPr fontId="2" type="noConversion"/>
  </si>
  <si>
    <t>540km x 전월평균단가 ÷ 9km/리터</t>
    <phoneticPr fontId="2" type="noConversion"/>
  </si>
  <si>
    <t>남양산 &gt; 낙동JC</t>
    <phoneticPr fontId="2" type="noConversion"/>
  </si>
  <si>
    <t>낙동JC2 &gt; 청주</t>
    <phoneticPr fontId="2" type="noConversion"/>
  </si>
  <si>
    <t>문의 &gt; 영천JC</t>
    <phoneticPr fontId="2" type="noConversion"/>
  </si>
  <si>
    <t>영천JC2 &gt; 양산</t>
    <phoneticPr fontId="2" type="noConversion"/>
  </si>
  <si>
    <t>박재도BJ, 심태양CJ</t>
    <phoneticPr fontId="2" type="noConversion"/>
  </si>
  <si>
    <t>275km x 전월평균단가 ÷ 9km/리터</t>
    <phoneticPr fontId="2" type="noConversion"/>
  </si>
  <si>
    <t>톨비 : 낙동JC2 &gt; 청주</t>
    <phoneticPr fontId="2" type="noConversion"/>
  </si>
  <si>
    <t>첨부03</t>
    <phoneticPr fontId="2" type="noConversion"/>
  </si>
  <si>
    <t>첨부04</t>
    <phoneticPr fontId="2" type="noConversion"/>
  </si>
  <si>
    <t>SPS20096</t>
    <phoneticPr fontId="2" type="noConversion"/>
  </si>
  <si>
    <t>배관자재(호스클램프 및 심래스 인서트</t>
    <phoneticPr fontId="2" type="noConversion"/>
  </si>
  <si>
    <t>교통비</t>
    <phoneticPr fontId="2" type="noConversion"/>
  </si>
  <si>
    <t>화물비</t>
    <phoneticPr fontId="2" type="noConversion"/>
  </si>
  <si>
    <t>잡자재</t>
    <phoneticPr fontId="2" type="noConversion"/>
  </si>
  <si>
    <t>택배/화물비</t>
    <phoneticPr fontId="2" type="noConversion"/>
  </si>
  <si>
    <t>톨비 : 남양산 &gt; 낙동JC</t>
    <phoneticPr fontId="2" type="noConversion"/>
  </si>
  <si>
    <t>첨부01</t>
    <phoneticPr fontId="2" type="noConversion"/>
  </si>
  <si>
    <t>첨부02</t>
    <phoneticPr fontId="2" type="noConversion"/>
  </si>
  <si>
    <t>회식대(현대"2"+SP"3"+유노믹"1"+CMT"1"+SK"2"</t>
    <phoneticPr fontId="2" type="noConversion"/>
  </si>
  <si>
    <t>택배발송</t>
    <phoneticPr fontId="2" type="noConversion"/>
  </si>
  <si>
    <t>톨비 : 문의 &gt; 영천JC</t>
    <phoneticPr fontId="2" type="noConversion"/>
  </si>
  <si>
    <t>톨비 : 영천JC2 &gt; 남양산</t>
    <phoneticPr fontId="2" type="noConversion"/>
  </si>
  <si>
    <t>오피넷 4월 경유평균단가 : 1,338.81원/리터</t>
    <phoneticPr fontId="2" type="noConversion"/>
  </si>
  <si>
    <t>첨부03</t>
    <phoneticPr fontId="2" type="noConversion"/>
  </si>
  <si>
    <t>첨부01</t>
    <phoneticPr fontId="2" type="noConversion"/>
  </si>
  <si>
    <t>첨부02</t>
    <phoneticPr fontId="2" type="noConversion"/>
  </si>
  <si>
    <t>오피넷 5월 경유평균단가 : 1,338.81원/리터</t>
    <phoneticPr fontId="2" type="noConversion"/>
  </si>
  <si>
    <t>7월 1일</t>
    <phoneticPr fontId="2" type="noConversion"/>
  </si>
  <si>
    <t>7월 2일</t>
  </si>
  <si>
    <t>첨부01</t>
    <phoneticPr fontId="2" type="noConversion"/>
  </si>
  <si>
    <t>첨부02</t>
    <phoneticPr fontId="2" type="noConversion"/>
  </si>
  <si>
    <t>첨부03</t>
    <phoneticPr fontId="2" type="noConversion"/>
  </si>
  <si>
    <t>오피넷 6월 경유평균단가 : 1,374.36원/리터</t>
    <phoneticPr fontId="2" type="noConversion"/>
  </si>
  <si>
    <t>275km x 전월평균단가 ÷ 9km/리터</t>
    <phoneticPr fontId="2" type="noConversion"/>
  </si>
  <si>
    <t>report</t>
  </si>
  <si>
    <t>7월 21일</t>
    <phoneticPr fontId="2" type="noConversion"/>
  </si>
  <si>
    <t>7월 22일</t>
    <phoneticPr fontId="2" type="noConversion"/>
  </si>
  <si>
    <t>톨비 : 양산 &gt; 낙동JC</t>
    <phoneticPr fontId="2" type="noConversion"/>
  </si>
  <si>
    <t>톨비 : 낙동JC2 &gt; 남청주</t>
    <phoneticPr fontId="2" type="noConversion"/>
  </si>
  <si>
    <t>톨비 : 영천JC2 &gt; 양산</t>
    <phoneticPr fontId="2" type="noConversion"/>
  </si>
  <si>
    <t>중식(현대자동차 + SP 4명)</t>
    <phoneticPr fontId="2" type="noConversion"/>
  </si>
  <si>
    <t>회식(고객사, SP) 2차</t>
    <phoneticPr fontId="2" type="noConversion"/>
  </si>
  <si>
    <t>외장하드(PC 7대 GHOST BACK UP 제출)</t>
    <phoneticPr fontId="2" type="noConversion"/>
  </si>
  <si>
    <t>중식(심태양, 이상주)</t>
    <phoneticPr fontId="2" type="noConversion"/>
  </si>
  <si>
    <t>7월 26일</t>
    <phoneticPr fontId="2" type="noConversion"/>
  </si>
  <si>
    <t>7월 27일</t>
    <phoneticPr fontId="2" type="noConversion"/>
  </si>
  <si>
    <t>7월 28일</t>
    <phoneticPr fontId="2" type="noConversion"/>
  </si>
  <si>
    <t>3D-교육
솔리드웍스
1일차</t>
    <phoneticPr fontId="2" type="noConversion"/>
  </si>
  <si>
    <t>3D-교육
솔리드웍스
2일차</t>
    <phoneticPr fontId="2" type="noConversion"/>
  </si>
  <si>
    <t>3D-교육
솔리드웍스
3일차</t>
    <phoneticPr fontId="2" type="noConversion"/>
  </si>
  <si>
    <t>톨비 : 남양산 &gt; 마산</t>
    <phoneticPr fontId="2" type="noConversion"/>
  </si>
  <si>
    <t>톨비 : 동창원 &gt; 남양산</t>
    <phoneticPr fontId="2" type="noConversion"/>
  </si>
  <si>
    <t>톨비 : 마산 &gt; 남양산</t>
    <phoneticPr fontId="2" type="noConversion"/>
  </si>
  <si>
    <t>10월 15일</t>
    <phoneticPr fontId="2" type="noConversion"/>
  </si>
  <si>
    <t>톨비 : 부산 &gt; 양산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</si>
  <si>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</si>
  <si>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</si>
  <si>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</si>
  <si>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톨비 : 양산 &gt; 부산</t>
    <phoneticPr fontId="2" type="noConversion"/>
  </si>
  <si>
    <t>중식 (심태양, 백경열)</t>
    <phoneticPr fontId="2" type="noConversion"/>
  </si>
  <si>
    <t>55km x 전월평균단가 ÷ 9km/리터</t>
    <phoneticPr fontId="2" type="noConversion"/>
  </si>
  <si>
    <t>연구팀
부산대
면접고사</t>
    <phoneticPr fontId="2" type="noConversion"/>
  </si>
  <si>
    <t>오피넷 9월 경유평균단가 : 1437.17원/리터</t>
    <phoneticPr fontId="2" type="noConversion"/>
  </si>
  <si>
    <t>대리비</t>
    <phoneticPr fontId="2" type="noConversion"/>
  </si>
  <si>
    <t>CEO+차장급 저녁식사</t>
    <phoneticPr fontId="2" type="noConversion"/>
  </si>
  <si>
    <t>12월 22일</t>
    <phoneticPr fontId="2" type="noConversion"/>
  </si>
  <si>
    <t>12월 23일</t>
    <phoneticPr fontId="2" type="noConversion"/>
  </si>
  <si>
    <t>숙박비</t>
    <phoneticPr fontId="2" type="noConversion"/>
  </si>
  <si>
    <t>오피넷 11월 경유평균단가 : 1549.72원/리터</t>
    <phoneticPr fontId="2" type="noConversion"/>
  </si>
  <si>
    <t>톨비 : 남양산 &gt; 낙동JC</t>
    <phoneticPr fontId="2" type="noConversion"/>
  </si>
  <si>
    <t>톨비 : 낙동JC2 &gt; 청주</t>
    <phoneticPr fontId="2" type="noConversion"/>
  </si>
  <si>
    <t>톨비 : 청주 &gt; 영천JC2</t>
    <phoneticPr fontId="2" type="noConversion"/>
  </si>
  <si>
    <t>톨비 : 영천JC2 &gt; 양산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</si>
  <si>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</si>
  <si>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</si>
  <si>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</si>
  <si>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출장 및 식대</t>
    <phoneticPr fontId="2" type="noConversion"/>
  </si>
  <si>
    <t>출장숙박</t>
    <phoneticPr fontId="2" type="noConversion"/>
  </si>
  <si>
    <t>출장 및 식대</t>
    <phoneticPr fontId="2" type="noConversion"/>
  </si>
  <si>
    <t>280km x 전월평균단가 ÷ 9km/리터 (출퇴근포함)</t>
    <phoneticPr fontId="2" type="noConversion"/>
  </si>
  <si>
    <t>청주 삼표 택배(센서) 발송</t>
    <phoneticPr fontId="2" type="noConversion"/>
  </si>
  <si>
    <t>청주 삼표 택배(센서 cable) 발송</t>
    <phoneticPr fontId="2" type="noConversion"/>
  </si>
  <si>
    <t>청주 삼표 택배(무빙 cable) 발송</t>
    <phoneticPr fontId="2" type="noConversion"/>
  </si>
  <si>
    <t>-</t>
    <phoneticPr fontId="2" type="noConversion"/>
  </si>
  <si>
    <t>오피넷 11월 경유평균단가 : 1,468.90원/리터</t>
    <phoneticPr fontId="2" type="noConversion"/>
  </si>
  <si>
    <t>첨부02</t>
    <phoneticPr fontId="2" type="noConversion"/>
  </si>
  <si>
    <t>톨비 : 부산 &lt;&gt;  양산</t>
    <phoneticPr fontId="2" type="noConversion"/>
  </si>
  <si>
    <t>45km x 전월평균단가 ÷ 9km/리터 (출퇴근포함)</t>
    <phoneticPr fontId="2" type="noConversion"/>
  </si>
  <si>
    <t>첨부02</t>
    <phoneticPr fontId="2" type="noConversion"/>
  </si>
  <si>
    <t>첨부03</t>
    <phoneticPr fontId="2" type="noConversion"/>
  </si>
  <si>
    <t>톨비 : 창원 &lt;&gt;  양산</t>
    <phoneticPr fontId="2" type="noConversion"/>
  </si>
  <si>
    <t>135km x 전월평균단가 ÷ 9km/리터</t>
    <phoneticPr fontId="2" type="noConversion"/>
  </si>
  <si>
    <t>소계</t>
    <phoneticPr fontId="2" type="noConversion"/>
  </si>
  <si>
    <t>오피넷 7월 경유평균단가 : 2,084.91원/리터</t>
    <phoneticPr fontId="2" type="noConversion"/>
  </si>
  <si>
    <t>톨비 : 양산 &lt;&gt;  부산</t>
    <phoneticPr fontId="2" type="noConversion"/>
  </si>
  <si>
    <t>중식대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</si>
  <si>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</si>
  <si>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</si>
  <si>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</si>
  <si>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주차료</t>
    <phoneticPr fontId="2" type="noConversion"/>
  </si>
  <si>
    <t>첨부03</t>
    <phoneticPr fontId="2" type="noConversion"/>
  </si>
  <si>
    <t>55km x 전월평균단가 ÷ 9km/리터</t>
    <phoneticPr fontId="2" type="noConversion"/>
  </si>
  <si>
    <t>오피넷 7월 경유평균단가 : 2,084.91원/리터</t>
    <phoneticPr fontId="2" type="noConversion"/>
  </si>
  <si>
    <t>톨비 : 양산 &lt;&gt; 부산</t>
    <phoneticPr fontId="2" type="noConversion"/>
  </si>
  <si>
    <t>오피넷 8월 경유평균단가 : 1889.31원/리터</t>
    <phoneticPr fontId="2" type="noConversion"/>
  </si>
  <si>
    <t>90km x 전월평균단가 ÷ 9km/리터</t>
    <phoneticPr fontId="2" type="noConversion"/>
  </si>
  <si>
    <t>55km x 전월평균단가 ÷ 9km/리터</t>
    <phoneticPr fontId="2" type="noConversion"/>
  </si>
  <si>
    <t>첨부04</t>
    <phoneticPr fontId="2" type="noConversion"/>
  </si>
  <si>
    <t>부산대 주차료</t>
    <phoneticPr fontId="2" type="noConversion"/>
  </si>
  <si>
    <t>첨부05</t>
    <phoneticPr fontId="2" type="noConversion"/>
  </si>
  <si>
    <t>톨비 : 양산 &lt;&gt;  부산</t>
    <phoneticPr fontId="2" type="noConversion"/>
  </si>
  <si>
    <t>부산대 주차료</t>
    <phoneticPr fontId="2" type="noConversion"/>
  </si>
  <si>
    <t>중식비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</si>
  <si>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</si>
  <si>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</si>
  <si>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</si>
  <si>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</si>
  <si>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첨부06</t>
    <phoneticPr fontId="2" type="noConversion"/>
  </si>
  <si>
    <t>첨부08</t>
    <phoneticPr fontId="2" type="noConversion"/>
  </si>
  <si>
    <t>톨비 : 양산 &lt;&gt;  부산</t>
    <phoneticPr fontId="2" type="noConversion"/>
  </si>
  <si>
    <t>55km x 전월평균단가 ÷ 9km/리터</t>
    <phoneticPr fontId="2" type="noConversion"/>
  </si>
  <si>
    <t>중식비</t>
    <phoneticPr fontId="2" type="noConversion"/>
  </si>
  <si>
    <t>첨부02</t>
    <phoneticPr fontId="2" type="noConversion"/>
  </si>
  <si>
    <t>SPS22023</t>
    <phoneticPr fontId="2" type="noConversion"/>
  </si>
  <si>
    <t>톨비 : 양산 &lt;&gt;  울산</t>
    <phoneticPr fontId="2" type="noConversion"/>
  </si>
  <si>
    <t>118km x 전월평균단가 ÷ 9km/리터</t>
    <phoneticPr fontId="2" type="noConversion"/>
  </si>
  <si>
    <t>오피넷 8월 경유평균단가 : 1850.2원/리터</t>
    <phoneticPr fontId="2" type="noConversion"/>
  </si>
  <si>
    <t>첨부01</t>
    <phoneticPr fontId="2" type="noConversion"/>
  </si>
  <si>
    <t>첨부04</t>
    <phoneticPr fontId="2" type="noConversion"/>
  </si>
  <si>
    <t>첨부06</t>
    <phoneticPr fontId="2" type="noConversion"/>
  </si>
  <si>
    <t>기업비씨카드 수수료</t>
    <phoneticPr fontId="2" type="noConversion"/>
  </si>
  <si>
    <t>수수료</t>
    <phoneticPr fontId="2" type="noConversion"/>
  </si>
  <si>
    <t>기업비씨카드 수수료</t>
    <phoneticPr fontId="2" type="noConversion"/>
  </si>
  <si>
    <t>55km x 전월평균단가 ÷ 9km/리터</t>
    <phoneticPr fontId="2" type="noConversion"/>
  </si>
  <si>
    <t>톨비 : 양산 &lt;&gt;  부산(용당, 동명대)</t>
    <phoneticPr fontId="2" type="noConversion"/>
  </si>
  <si>
    <t>83km x 전월평균단가(1,838.34) ÷ 9km/리터</t>
    <phoneticPr fontId="2" type="noConversion"/>
  </si>
  <si>
    <t>첨부02</t>
    <phoneticPr fontId="2" type="noConversion"/>
  </si>
  <si>
    <t>첨부03</t>
    <phoneticPr fontId="2" type="noConversion"/>
  </si>
  <si>
    <t>첨부05</t>
    <phoneticPr fontId="2" type="noConversion"/>
  </si>
  <si>
    <t>55km x 전월평균단가(1,838.34) ÷ 9km/리터</t>
    <phoneticPr fontId="2" type="noConversion"/>
  </si>
  <si>
    <t>첨부07</t>
    <phoneticPr fontId="2" type="noConversion"/>
  </si>
  <si>
    <t>첨부08</t>
    <phoneticPr fontId="2" type="noConversion"/>
  </si>
  <si>
    <t>첨부08</t>
    <phoneticPr fontId="2" type="noConversion"/>
  </si>
  <si>
    <t>첨부08</t>
    <phoneticPr fontId="2" type="noConversion"/>
  </si>
  <si>
    <t>55km x 전월평균단가(1,850.2) ÷ 9km/리터</t>
    <phoneticPr fontId="2" type="noConversion"/>
  </si>
  <si>
    <t>주차료</t>
    <phoneticPr fontId="2" type="noConversion"/>
  </si>
  <si>
    <t>부산대 주차료</t>
    <phoneticPr fontId="2" type="noConversion"/>
  </si>
  <si>
    <t>톨비 : 양산 &lt;&gt;  부산</t>
    <phoneticPr fontId="2" type="noConversion"/>
  </si>
  <si>
    <t>55km x 전월평균단가(1,838.34) ÷ 9km/리터</t>
    <phoneticPr fontId="2" type="noConversion"/>
  </si>
  <si>
    <t>첨부06</t>
    <phoneticPr fontId="2" type="noConversion"/>
  </si>
  <si>
    <t>SPS22023</t>
    <phoneticPr fontId="2" type="noConversion"/>
  </si>
  <si>
    <t>톨비 : 울주동JC &lt;&gt;  CJDFID</t>
    <phoneticPr fontId="2" type="noConversion"/>
  </si>
  <si>
    <t>톨비 : 예전</t>
    <phoneticPr fontId="2" type="noConversion"/>
  </si>
  <si>
    <t>톨비 : 예전</t>
    <phoneticPr fontId="2" type="noConversion"/>
  </si>
  <si>
    <t>125km x 전월평균단가(1,838.34) ÷ 9km/리터</t>
    <phoneticPr fontId="2" type="noConversion"/>
  </si>
  <si>
    <t>전월(10월) 전국 경유 평균단가(1,838.34원)</t>
    <phoneticPr fontId="2" type="noConversion"/>
  </si>
  <si>
    <t>첨부03</t>
    <phoneticPr fontId="2" type="noConversion"/>
  </si>
  <si>
    <t>교통비</t>
    <phoneticPr fontId="2" type="noConversion"/>
  </si>
  <si>
    <t>톨비 : 양산 &lt;&gt;  울주동JC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</si>
  <si>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</si>
  <si>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</si>
  <si>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</si>
  <si>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</si>
  <si>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첨부06</t>
    <phoneticPr fontId="2" type="noConversion"/>
  </si>
  <si>
    <t>톨비 : 양산 &lt;&gt;  부산</t>
    <phoneticPr fontId="2" type="noConversion"/>
  </si>
  <si>
    <t>부산대 주차료</t>
    <phoneticPr fontId="2" type="noConversion"/>
  </si>
  <si>
    <t>55km x 전월평균단가(1,838.34) ÷ 9km/리터</t>
    <phoneticPr fontId="2" type="noConversion"/>
  </si>
  <si>
    <t>톨비 : 양산 &lt;&gt;  울산(ktx)</t>
    <phoneticPr fontId="2" type="noConversion"/>
  </si>
  <si>
    <t>석식비(심태양, 백경열 2명)</t>
    <phoneticPr fontId="2" type="noConversion"/>
  </si>
  <si>
    <t>ktx (상행, 2명)</t>
    <phoneticPr fontId="2" type="noConversion"/>
  </si>
  <si>
    <t>ktx (하행, 2명)</t>
    <phoneticPr fontId="2" type="noConversion"/>
  </si>
  <si>
    <t>첨부07</t>
    <phoneticPr fontId="2" type="noConversion"/>
  </si>
  <si>
    <t>55km x 전월평균단가(1,879.15) ÷ 9km/리터</t>
    <phoneticPr fontId="2" type="noConversion"/>
  </si>
  <si>
    <t>55km x 전월평균단가(1,879.15) ÷ 9km/리터</t>
    <phoneticPr fontId="2" type="noConversion"/>
  </si>
  <si>
    <t>70km x 전월평균단가(1,879.15) ÷ 9km/리터</t>
    <phoneticPr fontId="2" type="noConversion"/>
  </si>
  <si>
    <t>전월(10월) 전국 경유 평균단가(1,879.15원)</t>
    <phoneticPr fontId="2" type="noConversion"/>
  </si>
  <si>
    <t>첨부08</t>
    <phoneticPr fontId="2" type="noConversion"/>
  </si>
  <si>
    <t>첨부09</t>
    <phoneticPr fontId="2" type="noConversion"/>
  </si>
  <si>
    <t>첨부02</t>
    <phoneticPr fontId="2" type="noConversion"/>
  </si>
  <si>
    <t>첨부03</t>
    <phoneticPr fontId="2" type="noConversion"/>
  </si>
  <si>
    <t>전월(12월) 전국 경유 평균단가(1,783.21원)</t>
    <phoneticPr fontId="2" type="noConversion"/>
  </si>
  <si>
    <t>톨비 : 양산 &lt;&gt;  마산</t>
    <phoneticPr fontId="2" type="noConversion"/>
  </si>
  <si>
    <t>165km x 전월평균단가(1,783.21) ÷ 9km/리터</t>
    <phoneticPr fontId="2" type="noConversion"/>
  </si>
  <si>
    <t>톨비 : 양산 &lt;&gt;  부산대</t>
    <phoneticPr fontId="2" type="noConversion"/>
  </si>
  <si>
    <t>톨비 : 양산 &lt;&gt;  부산강서구</t>
    <phoneticPr fontId="2" type="noConversion"/>
  </si>
  <si>
    <t>부산대 주차료</t>
    <phoneticPr fontId="2" type="noConversion"/>
  </si>
  <si>
    <t>중식비 (심태양)</t>
    <phoneticPr fontId="2" type="noConversion"/>
  </si>
  <si>
    <t>전월(1월) 전국 경유 평균단가(1,675.37원)</t>
    <phoneticPr fontId="2" type="noConversion"/>
  </si>
  <si>
    <t>전월(1월) 전국 경유 평균단가(1,675.37원)</t>
    <phoneticPr fontId="2" type="noConversion"/>
  </si>
  <si>
    <t>톨비 : 양산 &lt;&gt;  부산대</t>
    <phoneticPr fontId="2" type="noConversion"/>
  </si>
  <si>
    <t>톨비 : 양산 &lt;&gt;  부산대</t>
    <phoneticPr fontId="2" type="noConversion"/>
  </si>
  <si>
    <t>중식비 (심태양, 백경열)</t>
    <phoneticPr fontId="2" type="noConversion"/>
  </si>
  <si>
    <t>부산대 주차료</t>
    <phoneticPr fontId="2" type="noConversion"/>
  </si>
  <si>
    <t>55km x 전월평균단가(1,783.21) ÷ 9km/리터</t>
    <phoneticPr fontId="2" type="noConversion"/>
  </si>
  <si>
    <t>중식비 (심태양)</t>
    <phoneticPr fontId="2" type="noConversion"/>
  </si>
  <si>
    <t>-</t>
    <phoneticPr fontId="2" type="noConversion"/>
  </si>
  <si>
    <t>톨비 : 양산 &gt; 군위출구JC</t>
    <phoneticPr fontId="2" type="noConversion"/>
  </si>
  <si>
    <t>톨비 : 군위출구JC2 &gt; 남원주</t>
    <phoneticPr fontId="2" type="noConversion"/>
  </si>
  <si>
    <t>톨비 : 영천JC2 &gt; 양산</t>
    <phoneticPr fontId="2" type="noConversion"/>
  </si>
  <si>
    <t>톨비 : 면온 &gt; 영천JC</t>
    <phoneticPr fontId="2" type="noConversion"/>
  </si>
  <si>
    <t>톨비 : 남원주 &gt; 면온</t>
    <phoneticPr fontId="2" type="noConversion"/>
  </si>
  <si>
    <t>첨부02</t>
    <phoneticPr fontId="2" type="noConversion"/>
  </si>
  <si>
    <t>개인</t>
    <phoneticPr fontId="2" type="noConversion"/>
  </si>
  <si>
    <t>개인</t>
    <phoneticPr fontId="2" type="noConversion"/>
  </si>
  <si>
    <t>과제카드</t>
    <phoneticPr fontId="2" type="noConversion"/>
  </si>
  <si>
    <t>전월(2월) 전국 경유 평균단가(1,675.37원)</t>
    <phoneticPr fontId="2" type="noConversion"/>
  </si>
  <si>
    <t>780km x 전월평균단가(1,675.37) ÷ 9km/리터</t>
    <phoneticPr fontId="2" type="noConversion"/>
  </si>
  <si>
    <t>60km x 전월평균단가(1,675.37 ÷ 9km/리터</t>
    <phoneticPr fontId="2" type="noConversion"/>
  </si>
  <si>
    <t>55km x 전월평균단가(1,675.37) ÷ 9km/리터</t>
    <phoneticPr fontId="2" type="noConversion"/>
  </si>
  <si>
    <t>첨부03</t>
    <phoneticPr fontId="2" type="noConversion"/>
  </si>
  <si>
    <t>첨부04</t>
    <phoneticPr fontId="2" type="noConversion"/>
  </si>
  <si>
    <t>2명 숙박(심태양, 백경열)</t>
    <phoneticPr fontId="2" type="noConversion"/>
  </si>
  <si>
    <t>2명 석식(심태양, 백경열)</t>
    <phoneticPr fontId="2" type="noConversion"/>
  </si>
  <si>
    <t>등록비</t>
    <phoneticPr fontId="2" type="noConversion"/>
  </si>
  <si>
    <t>학회 등록비 (심태양)</t>
    <phoneticPr fontId="2" type="noConversion"/>
  </si>
  <si>
    <t>학회 등록비 (백경열)</t>
    <phoneticPr fontId="2" type="noConversion"/>
  </si>
  <si>
    <t>첨부05</t>
    <phoneticPr fontId="2" type="noConversion"/>
  </si>
  <si>
    <t>첨부06</t>
    <phoneticPr fontId="2" type="noConversion"/>
  </si>
  <si>
    <t>2명 석식(심태양, 백경열)</t>
    <phoneticPr fontId="2" type="noConversion"/>
  </si>
  <si>
    <t>첨부07</t>
    <phoneticPr fontId="2" type="noConversion"/>
  </si>
  <si>
    <t>첨부08</t>
    <phoneticPr fontId="2" type="noConversion"/>
  </si>
  <si>
    <t>2명 조식(심태양, 백경열)</t>
    <phoneticPr fontId="2" type="noConversion"/>
  </si>
  <si>
    <t>첨부09</t>
    <phoneticPr fontId="2" type="noConversion"/>
  </si>
  <si>
    <t>780km x 전월평균단가(1,675.37) ÷ 9km/리터</t>
    <phoneticPr fontId="2" type="noConversion"/>
  </si>
  <si>
    <t>톨비 : 양산 &gt; 부산</t>
    <phoneticPr fontId="2" type="noConversion"/>
  </si>
  <si>
    <t>톨비 : 부산 &gt; 양산</t>
    <phoneticPr fontId="2" type="noConversion"/>
  </si>
  <si>
    <t>780km x 전월평균단가(1,606.41) ÷ 9km/리터</t>
    <phoneticPr fontId="2" type="noConversion"/>
  </si>
  <si>
    <t>780km x 전월평균단가(1,606.41) ÷ 9km/리터</t>
    <phoneticPr fontId="2" type="noConversion"/>
  </si>
  <si>
    <t>780km x 전월평균단가(1,539.72) ÷ 9km/리터</t>
    <phoneticPr fontId="2" type="noConversion"/>
  </si>
  <si>
    <t>전월(3월) 전국 경유 평균단가(1,539.72원)</t>
    <phoneticPr fontId="2" type="noConversion"/>
  </si>
  <si>
    <t>부산대 주차료</t>
    <phoneticPr fontId="2" type="noConversion"/>
  </si>
  <si>
    <t>첨부02</t>
    <phoneticPr fontId="2" type="noConversion"/>
  </si>
  <si>
    <t>첨부04</t>
    <phoneticPr fontId="2" type="noConversion"/>
  </si>
  <si>
    <t>55km x 전월평균단가(1,539.72) ÷ 9km/리터</t>
    <phoneticPr fontId="2" type="noConversion"/>
  </si>
  <si>
    <t>-</t>
    <phoneticPr fontId="2" type="noConversion"/>
  </si>
  <si>
    <t>심태양, 백경열, 이마룬 3명</t>
    <phoneticPr fontId="2" type="noConversion"/>
  </si>
  <si>
    <t>심태양, 백경열, 이마룬 3명</t>
    <phoneticPr fontId="2" type="noConversion"/>
  </si>
  <si>
    <t>55km x 전월평균단가(1,535.70) ÷ 9km/리터</t>
    <phoneticPr fontId="2" type="noConversion"/>
  </si>
  <si>
    <t>전월(4월 경유 단가 1,535.70원)</t>
    <phoneticPr fontId="2" type="noConversion"/>
  </si>
  <si>
    <t>출장 일 식대</t>
    <phoneticPr fontId="2" type="noConversion"/>
  </si>
  <si>
    <t>출장 교통비 KTX</t>
    <phoneticPr fontId="2" type="noConversion"/>
  </si>
  <si>
    <t>외근</t>
    <phoneticPr fontId="2" type="noConversion"/>
  </si>
  <si>
    <t>외근</t>
    <phoneticPr fontId="2" type="noConversion"/>
  </si>
  <si>
    <t>출장</t>
    <phoneticPr fontId="2" type="noConversion"/>
  </si>
  <si>
    <t>출장</t>
    <phoneticPr fontId="2" type="noConversion"/>
  </si>
  <si>
    <t>출장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</si>
  <si>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</si>
  <si>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</si>
  <si>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</si>
  <si>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첨부</t>
  </si>
  <si>
    <t>법인</t>
    <phoneticPr fontId="2" type="noConversion"/>
  </si>
  <si>
    <t>출장</t>
  </si>
  <si>
    <t>출장식대</t>
    <phoneticPr fontId="2" type="noConversion"/>
  </si>
  <si>
    <t>숙박비(심태양)</t>
    <phoneticPr fontId="2" type="noConversion"/>
  </si>
  <si>
    <t>-</t>
    <phoneticPr fontId="2" type="noConversion"/>
  </si>
  <si>
    <t>(출장기간 5/31~6/2)</t>
    <phoneticPr fontId="2" type="noConversion"/>
  </si>
  <si>
    <t>(출장기간 5/31~6/2)</t>
    <phoneticPr fontId="2" type="noConversion"/>
  </si>
  <si>
    <t>전월(5월) 전국 경유 평균단가(1,471.97원)</t>
    <phoneticPr fontId="2" type="noConversion"/>
  </si>
  <si>
    <t>첨부03</t>
    <phoneticPr fontId="2" type="noConversion"/>
  </si>
  <si>
    <t>날짜</t>
    <phoneticPr fontId="2" type="noConversion"/>
  </si>
  <si>
    <t>구분</t>
    <phoneticPr fontId="2" type="noConversion"/>
  </si>
  <si>
    <t>교통비</t>
    <phoneticPr fontId="2" type="noConversion"/>
  </si>
  <si>
    <t>유류비</t>
    <phoneticPr fontId="2" type="noConversion"/>
  </si>
  <si>
    <t>첨부</t>
    <phoneticPr fontId="2" type="noConversion"/>
  </si>
  <si>
    <t>내용</t>
    <phoneticPr fontId="2" type="noConversion"/>
  </si>
  <si>
    <t>개인</t>
    <phoneticPr fontId="2" type="noConversion"/>
  </si>
  <si>
    <t>첨부01</t>
    <phoneticPr fontId="2" type="noConversion"/>
  </si>
  <si>
    <t>톨비 : 양산 &gt; 부산</t>
    <phoneticPr fontId="2" type="noConversion"/>
  </si>
  <si>
    <t>톨비 : 부산 &gt; 양산</t>
    <phoneticPr fontId="2" type="noConversion"/>
  </si>
  <si>
    <t>첨부02</t>
    <phoneticPr fontId="2" type="noConversion"/>
  </si>
  <si>
    <t>부산대 주차료</t>
    <phoneticPr fontId="2" type="noConversion"/>
  </si>
  <si>
    <t>소계</t>
    <phoneticPr fontId="2" type="noConversion"/>
  </si>
  <si>
    <t>-</t>
    <phoneticPr fontId="2" type="noConversion"/>
  </si>
  <si>
    <t>전월(5월) 전국 경유 평균단가(1,471.97원)</t>
    <phoneticPr fontId="2" type="noConversion"/>
  </si>
  <si>
    <t>합계</t>
    <phoneticPr fontId="2" type="noConversion"/>
  </si>
  <si>
    <t>55km x 전월평균단가(1,471.97) ÷ 9km/리터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</si>
  <si>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</si>
  <si>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</si>
  <si>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</si>
  <si>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첨부01</t>
    <phoneticPr fontId="2" type="noConversion"/>
  </si>
  <si>
    <t>택배비</t>
    <phoneticPr fontId="2" type="noConversion"/>
  </si>
  <si>
    <t>톨비 : 양산 &lt;-&gt; 부산</t>
    <phoneticPr fontId="2" type="noConversion"/>
  </si>
  <si>
    <t>톨비 : 양산 &lt;-&gt; 강서</t>
    <phoneticPr fontId="2" type="noConversion"/>
  </si>
  <si>
    <t>택배</t>
    <phoneticPr fontId="2" type="noConversion"/>
  </si>
  <si>
    <t>택배 (디지스트 PC 발송)</t>
    <phoneticPr fontId="2" type="noConversion"/>
  </si>
  <si>
    <t>전월(5월) 전국 경유 평균단가(1,394.48원)</t>
    <phoneticPr fontId="2" type="noConversion"/>
  </si>
  <si>
    <t>66km x 전월평균단가 ÷ 9km/리터</t>
    <phoneticPr fontId="2" type="noConversion"/>
  </si>
  <si>
    <t>55km x 전월평균단가 ÷ 9km/리터</t>
    <phoneticPr fontId="2" type="noConversion"/>
  </si>
  <si>
    <t>첨부03</t>
    <phoneticPr fontId="2" type="noConversion"/>
  </si>
  <si>
    <t>첨부05</t>
    <phoneticPr fontId="2" type="noConversion"/>
  </si>
  <si>
    <t>-</t>
    <phoneticPr fontId="2" type="noConversion"/>
  </si>
  <si>
    <t>-</t>
    <phoneticPr fontId="2" type="noConversion"/>
  </si>
  <si>
    <t>66km x 전월평균단가 ÷ 9km/리터</t>
    <phoneticPr fontId="2" type="noConversion"/>
  </si>
  <si>
    <t>첨부01</t>
    <phoneticPr fontId="2" type="noConversion"/>
  </si>
  <si>
    <t>첨부01</t>
    <phoneticPr fontId="2" type="noConversion"/>
  </si>
  <si>
    <t>첨부01</t>
    <phoneticPr fontId="2" type="noConversion"/>
  </si>
  <si>
    <t>첨부02</t>
    <phoneticPr fontId="2" type="noConversion"/>
  </si>
  <si>
    <t>전월(8월) 전국 경유 평균단가(1573.16원)</t>
    <phoneticPr fontId="2" type="noConversion"/>
  </si>
  <si>
    <t>첨부03</t>
    <phoneticPr fontId="2" type="noConversion"/>
  </si>
  <si>
    <t>첨부04</t>
    <phoneticPr fontId="2" type="noConversion"/>
  </si>
  <si>
    <t>유류비</t>
  </si>
  <si>
    <t>전월(9월) 전국 경유 평균단가(1666.53원)</t>
    <phoneticPr fontId="2" type="noConversion"/>
  </si>
  <si>
    <t>145km x 전월평균단가 ÷ 9km/리터</t>
    <phoneticPr fontId="2" type="noConversion"/>
  </si>
  <si>
    <t>울산ktx 주차료</t>
    <phoneticPr fontId="2" type="noConversion"/>
  </si>
  <si>
    <t>ktx 왕복 기차료</t>
    <phoneticPr fontId="2" type="noConversion"/>
  </si>
  <si>
    <t>톨비 : 양산 &lt;-&gt; 울산</t>
    <phoneticPr fontId="2" type="noConversion"/>
  </si>
  <si>
    <t>외근 중식</t>
  </si>
  <si>
    <t>외근 중식</t>
    <phoneticPr fontId="2" type="noConversion"/>
  </si>
  <si>
    <t>외근 석식</t>
    <phoneticPr fontId="2" type="noConversion"/>
  </si>
  <si>
    <t>첨부02</t>
    <phoneticPr fontId="2" type="noConversion"/>
  </si>
  <si>
    <t>첨부03</t>
    <phoneticPr fontId="2" type="noConversion"/>
  </si>
  <si>
    <t>첨부06</t>
    <phoneticPr fontId="2" type="noConversion"/>
  </si>
  <si>
    <t>첨부07</t>
    <phoneticPr fontId="2" type="noConversion"/>
  </si>
  <si>
    <t>첨부08</t>
    <phoneticPr fontId="2" type="noConversion"/>
  </si>
  <si>
    <t>첨부09</t>
    <phoneticPr fontId="2" type="noConversion"/>
  </si>
  <si>
    <t>130km x 전월평균단가 ÷ 9km/리터</t>
    <phoneticPr fontId="2" type="noConversion"/>
  </si>
  <si>
    <t>전월(9월) 전국 경유 평균단가(1,690.31원)</t>
    <phoneticPr fontId="2" type="noConversion"/>
  </si>
  <si>
    <t>198.5km x 전월평균단가 ÷ 9km/리터</t>
    <phoneticPr fontId="2" type="noConversion"/>
  </si>
  <si>
    <t>톨비 : 양산 &lt;-&gt; 창원</t>
    <phoneticPr fontId="2" type="noConversion"/>
  </si>
  <si>
    <t>톨비 : 양산 &lt;-&gt; 부산</t>
    <phoneticPr fontId="2" type="noConversion"/>
  </si>
  <si>
    <t>톨비 : 양산 &lt;-&gt; 거제</t>
    <phoneticPr fontId="2" type="noConversion"/>
  </si>
  <si>
    <t>톨비 : 양산 &lt;-&gt; 녹산</t>
    <phoneticPr fontId="2" type="noConversion"/>
  </si>
  <si>
    <t>98km x 전월평균단가 ÷ 9km/리터</t>
    <phoneticPr fontId="2" type="noConversion"/>
  </si>
  <si>
    <t>부산대학교 외근 주차료</t>
    <phoneticPr fontId="2" type="noConversion"/>
  </si>
  <si>
    <t>전월(11월) 전국 경유 평균단가(1,628.22원)</t>
    <phoneticPr fontId="2" type="noConversion"/>
  </si>
  <si>
    <t>부산대학교 주차료</t>
    <phoneticPr fontId="2" type="noConversion"/>
  </si>
  <si>
    <t>첨부02</t>
    <phoneticPr fontId="2" type="noConversion"/>
  </si>
  <si>
    <t>첨부03</t>
    <phoneticPr fontId="2" type="noConversion"/>
  </si>
  <si>
    <t>655km x 전월평균단가 ÷ 9km/리터</t>
    <phoneticPr fontId="2" type="noConversion"/>
  </si>
  <si>
    <t>중식</t>
    <phoneticPr fontId="2" type="noConversion"/>
  </si>
  <si>
    <t>석식</t>
    <phoneticPr fontId="2" type="noConversion"/>
  </si>
  <si>
    <t>첨부04</t>
    <phoneticPr fontId="2" type="noConversion"/>
  </si>
  <si>
    <t>첨부05</t>
    <phoneticPr fontId="2" type="noConversion"/>
  </si>
  <si>
    <t>출장비</t>
    <phoneticPr fontId="2" type="noConversion"/>
  </si>
  <si>
    <t>출장식대</t>
    <phoneticPr fontId="2" type="noConversion"/>
  </si>
  <si>
    <t>출장여비</t>
    <phoneticPr fontId="2" type="noConversion"/>
  </si>
  <si>
    <t>출장식대</t>
    <phoneticPr fontId="2" type="noConversion"/>
  </si>
  <si>
    <t>출장숙박비</t>
    <phoneticPr fontId="2" type="noConversion"/>
  </si>
  <si>
    <t>톨비 : 양산 -&gt; 아산</t>
    <phoneticPr fontId="2" type="noConversion"/>
  </si>
  <si>
    <t>톨비 : 아산 -&gt; 양산</t>
    <phoneticPr fontId="2" type="noConversion"/>
  </si>
  <si>
    <t>8km x 전월평균단가 ÷ 9km/리터</t>
    <phoneticPr fontId="2" type="noConversion"/>
  </si>
  <si>
    <t>8km x 전월평균단가 ÷ 9km/리터</t>
    <phoneticPr fontId="2" type="noConversion"/>
  </si>
  <si>
    <t>330km x 전월평균단가 ÷ 9km/리터</t>
    <phoneticPr fontId="2" type="noConversion"/>
  </si>
  <si>
    <t>330km x 전월평균단가 ÷ 9km/리터</t>
    <phoneticPr fontId="2" type="noConversion"/>
  </si>
  <si>
    <t>첨부01</t>
    <phoneticPr fontId="2" type="noConversion"/>
  </si>
  <si>
    <t>첨부03</t>
    <phoneticPr fontId="2" type="noConversion"/>
  </si>
  <si>
    <t>첨부06</t>
    <phoneticPr fontId="2" type="noConversion"/>
  </si>
  <si>
    <t>톨비 : 양산 &lt;-&gt; 부산</t>
    <phoneticPr fontId="2" type="noConversion"/>
  </si>
  <si>
    <t>전월(12월) 전국 경유 평균단가(1,526.31원)</t>
    <phoneticPr fontId="2" type="noConversion"/>
  </si>
  <si>
    <t>물금역 주차료(1일)</t>
    <phoneticPr fontId="2" type="noConversion"/>
  </si>
  <si>
    <t>0km x 전월평균단가 ÷ 9km/리터</t>
    <phoneticPr fontId="2" type="noConversion"/>
  </si>
  <si>
    <t>첨부01</t>
    <phoneticPr fontId="2" type="noConversion"/>
  </si>
  <si>
    <t>첨부01</t>
    <phoneticPr fontId="2" type="noConversion"/>
  </si>
  <si>
    <t>첨부02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</si>
  <si>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</si>
  <si>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</si>
  <si>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</si>
  <si>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첨부06</t>
    <phoneticPr fontId="2" type="noConversion"/>
  </si>
  <si>
    <t>첨부07</t>
    <phoneticPr fontId="2" type="noConversion"/>
  </si>
  <si>
    <t>첨부08</t>
    <phoneticPr fontId="2" type="noConversion"/>
  </si>
  <si>
    <t>첨부09</t>
    <phoneticPr fontId="2" type="noConversion"/>
  </si>
  <si>
    <t>기차 상행 (물금 &gt; 오송) KTX 2명</t>
    <phoneticPr fontId="2" type="noConversion"/>
  </si>
  <si>
    <t>기차 상행 (오송 &gt; 동탄) SR 2명</t>
    <phoneticPr fontId="2" type="noConversion"/>
  </si>
  <si>
    <t>기차 하행 (동탄 &gt; 동대구) SR 2명</t>
    <phoneticPr fontId="2" type="noConversion"/>
  </si>
  <si>
    <t>기차 하행 (동대구 &gt; 물금) 무궁화 2명</t>
    <phoneticPr fontId="2" type="noConversion"/>
  </si>
  <si>
    <t>석식 (2명)</t>
    <phoneticPr fontId="2" type="noConversion"/>
  </si>
  <si>
    <t>택시 진행 (동탄역 &gt; 기흥 삼성반도체공장)</t>
    <phoneticPr fontId="2" type="noConversion"/>
  </si>
  <si>
    <t>택시 복귀 (기흥 &gt; 동탄역)</t>
    <phoneticPr fontId="2" type="noConversion"/>
  </si>
  <si>
    <t>중식 (2명)</t>
    <phoneticPr fontId="2" type="noConversion"/>
  </si>
  <si>
    <t>교육비</t>
    <phoneticPr fontId="2" type="noConversion"/>
  </si>
  <si>
    <t>현장교육전 필수 교육
대상자 : 심태양, 이상주, 백경열</t>
    <phoneticPr fontId="2" type="noConversion"/>
  </si>
  <si>
    <t>모텔숙박비</t>
    <phoneticPr fontId="2" type="noConversion"/>
  </si>
  <si>
    <t>수원&gt;화성, 택시</t>
    <phoneticPr fontId="2" type="noConversion"/>
  </si>
  <si>
    <t>첨부01</t>
    <phoneticPr fontId="2" type="noConversion"/>
  </si>
  <si>
    <t>첨부03</t>
    <phoneticPr fontId="2" type="noConversion"/>
  </si>
  <si>
    <t>석식대</t>
    <phoneticPr fontId="2" type="noConversion"/>
  </si>
  <si>
    <t>양산&gt;수원, 시외버스</t>
    <phoneticPr fontId="2" type="noConversion"/>
  </si>
  <si>
    <t>휴일출장</t>
    <phoneticPr fontId="2" type="noConversion"/>
  </si>
  <si>
    <t>평일출장</t>
    <phoneticPr fontId="2" type="noConversion"/>
  </si>
  <si>
    <t>첨부02</t>
    <phoneticPr fontId="2" type="noConversion"/>
  </si>
  <si>
    <t>첨부03</t>
    <phoneticPr fontId="2" type="noConversion"/>
  </si>
  <si>
    <t>첨부05</t>
    <phoneticPr fontId="2" type="noConversion"/>
  </si>
  <si>
    <t>첨부06</t>
    <phoneticPr fontId="2" type="noConversion"/>
  </si>
  <si>
    <t>고속도로 톨비, 남양산 &gt; 낙동JC</t>
    <phoneticPr fontId="2" type="noConversion"/>
  </si>
  <si>
    <t>고속도로 톨비, 낙동JC2 &gt; 청주</t>
    <phoneticPr fontId="2" type="noConversion"/>
  </si>
  <si>
    <t>고속도로 톨비, 옥산 &gt; 기흥동탄</t>
    <phoneticPr fontId="2" type="noConversion"/>
  </si>
  <si>
    <t>고속도로 톨비, 기흥동탄 &gt; 영천JC</t>
    <phoneticPr fontId="2" type="noConversion"/>
  </si>
  <si>
    <t>고속도로 톨비, 영천JC2 &gt; 양산</t>
    <phoneticPr fontId="2" type="noConversion"/>
  </si>
  <si>
    <t>첨부07</t>
    <phoneticPr fontId="2" type="noConversion"/>
  </si>
  <si>
    <t>첨부08</t>
    <phoneticPr fontId="2" type="noConversion"/>
  </si>
  <si>
    <t>전월(3월) 전국 경유 평균단가(1,538.97원)</t>
    <phoneticPr fontId="2" type="noConversion"/>
  </si>
  <si>
    <t>첨부09</t>
    <phoneticPr fontId="2" type="noConversion"/>
  </si>
  <si>
    <t>첨부10</t>
    <phoneticPr fontId="2" type="noConversion"/>
  </si>
  <si>
    <t>첨부10</t>
    <phoneticPr fontId="2" type="noConversion"/>
  </si>
  <si>
    <t>일식대</t>
    <phoneticPr fontId="2" type="noConversion"/>
  </si>
  <si>
    <t>일식대</t>
    <phoneticPr fontId="2" type="noConversion"/>
  </si>
  <si>
    <t>일식대</t>
    <phoneticPr fontId="2" type="noConversion"/>
  </si>
  <si>
    <t>조식(중식:사장님, 석식:회식)</t>
    <phoneticPr fontId="2" type="noConversion"/>
  </si>
  <si>
    <t>일식대</t>
    <phoneticPr fontId="2" type="noConversion"/>
  </si>
  <si>
    <t>352.64km x 전월평균단가 ÷ 9km/리터</t>
    <phoneticPr fontId="2" type="noConversion"/>
  </si>
  <si>
    <t>양산 &lt;-&gt; 부산(녹산)</t>
    <phoneticPr fontId="2" type="noConversion"/>
  </si>
  <si>
    <t>99.42km x 전월평균단가 ÷ 9km/리터</t>
    <phoneticPr fontId="2" type="noConversion"/>
  </si>
  <si>
    <t>첨부02</t>
    <phoneticPr fontId="2" type="noConversion"/>
  </si>
  <si>
    <t>첨부04</t>
    <phoneticPr fontId="2" type="noConversion"/>
  </si>
  <si>
    <t>첨부05</t>
    <phoneticPr fontId="2" type="noConversion"/>
  </si>
  <si>
    <t>양산 &lt;-&gt; 부산(부산대)</t>
    <phoneticPr fontId="2" type="noConversion"/>
  </si>
  <si>
    <t>부산대 외근 중식</t>
    <phoneticPr fontId="2" type="noConversion"/>
  </si>
  <si>
    <t>전월(4월) 전국 경유 평균단가(1,557.77원)</t>
    <phoneticPr fontId="2" type="noConversion"/>
  </si>
  <si>
    <t>99.36km x 전월평균단가 ÷ 9km/리터</t>
    <phoneticPr fontId="2" type="noConversion"/>
  </si>
  <si>
    <t>54.44km x 전월평균단가 ÷ 9km/리터</t>
    <phoneticPr fontId="2" type="noConversion"/>
  </si>
  <si>
    <t>부산대학교 주차료</t>
    <phoneticPr fontId="2" type="noConversion"/>
  </si>
  <si>
    <t>통신비</t>
    <phoneticPr fontId="2" type="noConversion"/>
  </si>
  <si>
    <t>해외 출장비</t>
    <phoneticPr fontId="2" type="noConversion"/>
  </si>
  <si>
    <t>양산 &lt;-&gt; 부산(롯데호켈)</t>
    <phoneticPr fontId="2" type="noConversion"/>
  </si>
  <si>
    <t>78km x 전월평균단가 ÷ 9km/리터</t>
    <phoneticPr fontId="2" type="noConversion"/>
  </si>
  <si>
    <t>첨부01</t>
    <phoneticPr fontId="2" type="noConversion"/>
  </si>
  <si>
    <t>-</t>
    <phoneticPr fontId="2" type="noConversion"/>
  </si>
  <si>
    <t>-</t>
    <phoneticPr fontId="2" type="noConversion"/>
  </si>
  <si>
    <t>해외 로밍 (일본, 2일)</t>
    <phoneticPr fontId="2" type="noConversion"/>
  </si>
  <si>
    <t>중식(고객사 시연회 대응, 심태양, 백경열, 이상주)</t>
    <phoneticPr fontId="2" type="noConversion"/>
  </si>
  <si>
    <t>석식(박종길SM, 심태양BJ, 백경열DR)</t>
    <phoneticPr fontId="2" type="noConversion"/>
  </si>
  <si>
    <t>양산 &lt;-&gt; 부산(녹산)</t>
    <phoneticPr fontId="2" type="noConversion"/>
  </si>
  <si>
    <t>전월(5월) 전국 경유 평균단가(1,557.77원)</t>
    <phoneticPr fontId="2" type="noConversion"/>
  </si>
  <si>
    <t>-</t>
    <phoneticPr fontId="2" type="noConversion"/>
  </si>
  <si>
    <t>-</t>
    <phoneticPr fontId="2" type="noConversion"/>
  </si>
  <si>
    <t>첨부03</t>
    <phoneticPr fontId="2" type="noConversion"/>
  </si>
  <si>
    <t>첨부04</t>
    <phoneticPr fontId="2" type="noConversion"/>
  </si>
  <si>
    <t>99.30km x 전월평균단가 ÷ 9km/리터</t>
    <phoneticPr fontId="2" type="noConversion"/>
  </si>
  <si>
    <t>40.92km x 전월평균단가 ÷ 9km/리터</t>
    <phoneticPr fontId="2" type="noConversion"/>
  </si>
  <si>
    <t>전월(5월) 전국 경유 평균단가(1539.59원)</t>
    <phoneticPr fontId="2" type="noConversion"/>
  </si>
  <si>
    <t>첨부03</t>
    <phoneticPr fontId="2" type="noConversion"/>
  </si>
  <si>
    <t>첨부04</t>
    <phoneticPr fontId="2" type="noConversion"/>
  </si>
  <si>
    <t>-</t>
    <phoneticPr fontId="2" type="noConversion"/>
  </si>
  <si>
    <t>벡스코 주차료</t>
    <phoneticPr fontId="2" type="noConversion"/>
  </si>
  <si>
    <t>양산 &lt;-&gt; 부산(백스코)</t>
    <phoneticPr fontId="2" type="noConversion"/>
  </si>
  <si>
    <t>전월(5월) 전국 경유 평균단가(1487.54원)</t>
    <phoneticPr fontId="2" type="noConversion"/>
  </si>
  <si>
    <t>중식(심태양,백경열,이마룬,박태진)</t>
    <phoneticPr fontId="2" type="noConversion"/>
  </si>
  <si>
    <t>70.31km x 전월평균단가 ÷ 9km/리터</t>
    <phoneticPr fontId="2" type="noConversion"/>
  </si>
  <si>
    <t>전월(6월) 전국 경유 평균단가(1487.54원)</t>
    <phoneticPr fontId="2" type="noConversion"/>
  </si>
  <si>
    <t>양산 &lt;-&gt; 부산(녹산)</t>
    <phoneticPr fontId="2" type="noConversion"/>
  </si>
  <si>
    <t>출장식대</t>
    <phoneticPr fontId="2" type="noConversion"/>
  </si>
  <si>
    <t>출장일비</t>
    <phoneticPr fontId="2" type="noConversion"/>
  </si>
  <si>
    <t>99.40km x 전월평균단가 ÷ 9km/리터</t>
    <phoneticPr fontId="2" type="noConversion"/>
  </si>
  <si>
    <t>양산 &lt;-&gt; 거제도(삼성중공업)</t>
    <phoneticPr fontId="2" type="noConversion"/>
  </si>
  <si>
    <t>180.3km x 전월평균단가 ÷ 9km/리터</t>
    <phoneticPr fontId="2" type="noConversion"/>
  </si>
  <si>
    <t>중식(심태양, 박태진)</t>
    <phoneticPr fontId="2" type="noConversion"/>
  </si>
  <si>
    <t>휴일 중식</t>
    <phoneticPr fontId="2" type="noConversion"/>
  </si>
  <si>
    <t>전월(7월) 전국 경유 평균단가(1,542.46 원)</t>
    <phoneticPr fontId="2" type="noConversion"/>
  </si>
  <si>
    <t>양산 &lt;&gt; 창원 고속도로 톨비</t>
    <phoneticPr fontId="2" type="noConversion"/>
  </si>
  <si>
    <t>131.87km x 전월평균단가 ÷ 9km/리터</t>
    <phoneticPr fontId="2" type="noConversion"/>
  </si>
  <si>
    <t>중식3명(김충헌전무,김주원상무,심태양)</t>
    <phoneticPr fontId="2" type="noConversion"/>
  </si>
  <si>
    <t>전월(8월) 전국 경유 평균단가(1,528.85원)</t>
    <phoneticPr fontId="2" type="noConversion"/>
  </si>
  <si>
    <t>182.495m x 전월평균단가 ÷ 9km/리터</t>
    <phoneticPr fontId="2" type="noConversion"/>
  </si>
  <si>
    <t>중식1명</t>
    <phoneticPr fontId="2" type="noConversion"/>
  </si>
  <si>
    <t>석식1명</t>
    <phoneticPr fontId="2" type="noConversion"/>
  </si>
  <si>
    <t>양산 &lt;-&gt; 녹산(rims), 강서(gyt)</t>
    <phoneticPr fontId="2" type="noConversion"/>
  </si>
  <si>
    <t>휴일식대(오민환부장, 심태양부장)</t>
    <phoneticPr fontId="2" type="noConversion"/>
  </si>
  <si>
    <t>잡자재</t>
    <phoneticPr fontId="2" type="noConversion"/>
  </si>
  <si>
    <t>잡자재 (첨부파일 참고)</t>
    <phoneticPr fontId="2" type="noConversion"/>
  </si>
  <si>
    <t>첨부02</t>
    <phoneticPr fontId="2" type="noConversion"/>
  </si>
  <si>
    <t>휴일중식대(오민환,심태양)</t>
    <phoneticPr fontId="2" type="noConversion"/>
  </si>
  <si>
    <t>고객사 현장협의 다과(커피, 30명)</t>
    <phoneticPr fontId="2" type="noConversion"/>
  </si>
  <si>
    <t>윤활 잡자재 구매의 건.</t>
    <phoneticPr fontId="2" type="noConversion"/>
  </si>
  <si>
    <t>윤활 피팅류 구매의 건.</t>
    <phoneticPr fontId="2" type="noConversion"/>
  </si>
  <si>
    <t>택배비</t>
    <phoneticPr fontId="2" type="noConversion"/>
  </si>
  <si>
    <t>모터 택배 발송</t>
    <phoneticPr fontId="2" type="noConversion"/>
  </si>
  <si>
    <t>심태양, 디파인:김병철소장, 디봇:이성민, 3명</t>
    <phoneticPr fontId="2" type="noConversion"/>
  </si>
  <si>
    <t>심태양(1명)</t>
    <phoneticPr fontId="2" type="noConversion"/>
  </si>
  <si>
    <t>함경철, 오민환, 심태양(3명)</t>
    <phoneticPr fontId="2" type="noConversion"/>
  </si>
  <si>
    <t>첨부02</t>
    <phoneticPr fontId="2" type="noConversion"/>
  </si>
  <si>
    <t>182.689m x 전월평균단가 ÷ 9km/리터</t>
    <phoneticPr fontId="2" type="noConversion"/>
  </si>
  <si>
    <t>전월(9월) 전국 경유 평균단가(1,458.22원)</t>
    <phoneticPr fontId="2" type="noConversion"/>
  </si>
  <si>
    <t>중식(김정민BJ, 오민환BJ, 황원준BJ, 심태양BJ)</t>
    <phoneticPr fontId="2" type="noConversion"/>
  </si>
  <si>
    <t>산막복귀 잔업 (~23:00) 석식</t>
    <phoneticPr fontId="2" type="noConversion"/>
  </si>
  <si>
    <t>양산 &lt;-&gt; 거제도(삼성중공업)</t>
    <phoneticPr fontId="2" type="noConversion"/>
  </si>
  <si>
    <t>숙박비</t>
    <phoneticPr fontId="2" type="noConversion"/>
  </si>
  <si>
    <t>첨부03</t>
    <phoneticPr fontId="2" type="noConversion"/>
  </si>
  <si>
    <t>전월(10월) 전국 경유 평균단가(1,458.22원)</t>
    <phoneticPr fontId="2" type="noConversion"/>
  </si>
  <si>
    <t>182.495Km x 전월평균단가 ÷ 9km/리터</t>
    <phoneticPr fontId="2" type="noConversion"/>
  </si>
  <si>
    <t>91.35Km x 전월평균단가 ÷ 9km/리터</t>
    <phoneticPr fontId="2" type="noConversion"/>
  </si>
  <si>
    <t>일비</t>
    <phoneticPr fontId="2" type="noConversion"/>
  </si>
  <si>
    <t>숙박비</t>
    <phoneticPr fontId="2" type="noConversion"/>
  </si>
  <si>
    <t>91.81Km x 전월평균단가 ÷ 9km/리터</t>
    <phoneticPr fontId="2" type="noConversion"/>
  </si>
  <si>
    <t>186.78Km x 전월평균단가 ÷ 9km/리터</t>
    <phoneticPr fontId="2" type="noConversion"/>
  </si>
  <si>
    <t>0Km x 전월평균단가 ÷ 9km/리터</t>
    <phoneticPr fontId="2" type="noConversion"/>
  </si>
  <si>
    <t>0Km x 전월평균단가 ÷ 9km/리터</t>
    <phoneticPr fontId="2" type="noConversion"/>
  </si>
  <si>
    <t>양산 -&gt; 거제도(삼성중공업)</t>
    <phoneticPr fontId="2" type="noConversion"/>
  </si>
  <si>
    <t>숙박비</t>
    <phoneticPr fontId="2" type="noConversion"/>
  </si>
  <si>
    <t>첨부03</t>
    <phoneticPr fontId="2" type="noConversion"/>
  </si>
  <si>
    <t>첨부04</t>
    <phoneticPr fontId="2" type="noConversion"/>
  </si>
  <si>
    <t>첨부05</t>
    <phoneticPr fontId="2" type="noConversion"/>
  </si>
  <si>
    <t>-</t>
    <phoneticPr fontId="2" type="noConversion"/>
  </si>
  <si>
    <t>첨부06</t>
    <phoneticPr fontId="2" type="noConversion"/>
  </si>
  <si>
    <t>첨부07</t>
    <phoneticPr fontId="2" type="noConversion"/>
  </si>
  <si>
    <t>첨부08</t>
    <phoneticPr fontId="2" type="noConversion"/>
  </si>
  <si>
    <t>첨부09</t>
    <phoneticPr fontId="2" type="noConversion"/>
  </si>
  <si>
    <t>첨부10</t>
    <phoneticPr fontId="2" type="noConversion"/>
  </si>
  <si>
    <t>첨부11</t>
    <phoneticPr fontId="2" type="noConversion"/>
  </si>
  <si>
    <t>첨부12</t>
    <phoneticPr fontId="2" type="noConversion"/>
  </si>
  <si>
    <t>첨부13</t>
    <phoneticPr fontId="2" type="noConversion"/>
  </si>
  <si>
    <t>첨부14</t>
    <phoneticPr fontId="2" type="noConversion"/>
  </si>
  <si>
    <t>전월(10월) 전국 경유 평균단가(1,421.44원)</t>
    <phoneticPr fontId="2" type="noConversion"/>
  </si>
  <si>
    <t>양산 &lt;-&gt; 강서(gyt)</t>
    <phoneticPr fontId="2" type="noConversion"/>
  </si>
  <si>
    <t>숙박비</t>
    <phoneticPr fontId="2" type="noConversion"/>
  </si>
  <si>
    <t>첨부4</t>
    <phoneticPr fontId="2" type="noConversion"/>
  </si>
  <si>
    <t>첨부1</t>
    <phoneticPr fontId="2" type="noConversion"/>
  </si>
  <si>
    <t>62.05km x 전월평균단가 ÷ 9km/리터</t>
    <phoneticPr fontId="2" type="noConversion"/>
  </si>
  <si>
    <t>양산 &lt;-&gt; 대동(지와이티)</t>
    <phoneticPr fontId="2" type="noConversion"/>
  </si>
  <si>
    <t>출장식대</t>
    <phoneticPr fontId="2" type="noConversion"/>
  </si>
  <si>
    <t>양산 -&gt; 거제도(삼성중공업)</t>
    <phoneticPr fontId="2" type="noConversion"/>
  </si>
  <si>
    <t>숙박비</t>
    <phoneticPr fontId="2" type="noConversion"/>
  </si>
  <si>
    <t>첨부04</t>
    <phoneticPr fontId="2" type="noConversion"/>
  </si>
  <si>
    <t>첨부05</t>
    <phoneticPr fontId="2" type="noConversion"/>
  </si>
  <si>
    <t>양산 &lt;- 거제도(삼성중공업)</t>
    <phoneticPr fontId="2" type="noConversion"/>
  </si>
  <si>
    <t>187.88Km x 전월평균단가 ÷ 9km/리터</t>
    <phoneticPr fontId="2" type="noConversion"/>
  </si>
  <si>
    <t>전월(11월) 전국 경유 평균단가(1,461.04원)</t>
    <phoneticPr fontId="2" type="noConversion"/>
  </si>
  <si>
    <t>조식</t>
    <phoneticPr fontId="2" type="noConversion"/>
  </si>
  <si>
    <t>중식(심태양,황원준,이마룬,이아란) 4명</t>
    <phoneticPr fontId="2" type="noConversion"/>
  </si>
  <si>
    <t>석식</t>
    <phoneticPr fontId="2" type="noConversion"/>
  </si>
  <si>
    <t>첨부2</t>
  </si>
  <si>
    <t>첨부3</t>
  </si>
  <si>
    <t>첨부4</t>
  </si>
  <si>
    <t>64.68Km x 전월평균단가 ÷ 9km/리터</t>
    <phoneticPr fontId="2" type="noConversion"/>
  </si>
  <si>
    <t>양산 &lt;-&gt; 거제 삼성중공업</t>
    <phoneticPr fontId="2" type="noConversion"/>
  </si>
  <si>
    <t>67.76Km x 전월평균단가 ÷ 9km/리터</t>
    <phoneticPr fontId="2" type="noConversion"/>
  </si>
  <si>
    <t>첨부2</t>
    <phoneticPr fontId="2" type="noConversion"/>
  </si>
  <si>
    <t>첨부3</t>
    <phoneticPr fontId="2" type="noConversion"/>
  </si>
  <si>
    <t>조식(2명, 심태양, 박태진)</t>
    <phoneticPr fontId="2" type="noConversion"/>
  </si>
  <si>
    <t>중식(2명, 심태양, 박태진)</t>
    <phoneticPr fontId="2" type="noConversion"/>
  </si>
  <si>
    <t>양산 &lt;-&gt; 부산대</t>
    <phoneticPr fontId="2" type="noConversion"/>
  </si>
  <si>
    <t>양산 &lt;-&gt; 부산(사상)</t>
    <phoneticPr fontId="2" type="noConversion"/>
  </si>
  <si>
    <t>전월(12월) 전국 경유 평균단가(1497.25원)</t>
    <phoneticPr fontId="2" type="noConversion"/>
  </si>
  <si>
    <t>70.93Km x 전월평균단가 ÷ 9km/리터</t>
    <phoneticPr fontId="2" type="noConversion"/>
  </si>
  <si>
    <t>두원 &lt;-&gt; 양산(1공장, 2공장) &lt;-&gt; 부산(사상)</t>
    <phoneticPr fontId="2" type="noConversion"/>
  </si>
  <si>
    <t>87.16Km x 전월평균단가 ÷ 9km/리터</t>
    <phoneticPr fontId="2" type="noConversion"/>
  </si>
  <si>
    <t>첨부2</t>
    <phoneticPr fontId="2" type="noConversion"/>
  </si>
  <si>
    <t>김해장비반납 외근(석식2명, 심태양, 박태진)</t>
    <phoneticPr fontId="2" type="noConversion"/>
  </si>
  <si>
    <t>고객사중식(삼성중공업 이무림프로_2명</t>
    <phoneticPr fontId="2" type="noConversion"/>
  </si>
  <si>
    <t>57.10Km x 전월평균단가 ÷ 9km/리터</t>
    <phoneticPr fontId="2" type="noConversion"/>
  </si>
  <si>
    <t>71.95Km x 전월평균단가 ÷ 9km/리터</t>
    <phoneticPr fontId="2" type="noConversion"/>
  </si>
  <si>
    <t>71.95Km x 전월평균단가 ÷ 9km/리터</t>
    <phoneticPr fontId="2" type="noConversion"/>
  </si>
  <si>
    <t>부산대 주차료</t>
    <phoneticPr fontId="2" type="noConversion"/>
  </si>
  <si>
    <t>첨부4</t>
    <phoneticPr fontId="2" type="noConversion"/>
  </si>
  <si>
    <t>전월(1월) 전국 경유 평균단가(1,563.53원)</t>
    <phoneticPr fontId="2" type="noConversion"/>
  </si>
  <si>
    <t>전월(1월) 전국 경유 평균단가(1,563.53원)</t>
    <phoneticPr fontId="2" type="noConversion"/>
  </si>
  <si>
    <t>184.2m x 전월평균단가 ÷ 9km/리터</t>
    <phoneticPr fontId="2" type="noConversion"/>
  </si>
  <si>
    <t>양산 &lt;-&gt; 부산강서(지와이티)</t>
    <phoneticPr fontId="2" type="noConversion"/>
  </si>
  <si>
    <t>65.05m x 전월평균단가 ÷ 9km/리터</t>
    <phoneticPr fontId="2" type="noConversion"/>
  </si>
  <si>
    <t>전월(1월) 전국 경유 평균단가(1,563.53원)</t>
    <phoneticPr fontId="2" type="noConversion"/>
  </si>
  <si>
    <t>0m x 전월평균단가 ÷ 9km/리터</t>
    <phoneticPr fontId="2" type="noConversion"/>
  </si>
  <si>
    <t>휴일근무식대(4명, 오민환, 강익훈, 이아란, 심태양)</t>
    <phoneticPr fontId="2" type="noConversion"/>
  </si>
  <si>
    <t>첨부1</t>
    <phoneticPr fontId="2" type="noConversion"/>
  </si>
  <si>
    <t>첨부2</t>
    <phoneticPr fontId="2" type="noConversion"/>
  </si>
  <si>
    <t>출장식대</t>
    <phoneticPr fontId="2" type="noConversion"/>
  </si>
  <si>
    <t>-</t>
    <phoneticPr fontId="2" type="noConversion"/>
  </si>
  <si>
    <t>-</t>
    <phoneticPr fontId="2" type="noConversion"/>
  </si>
  <si>
    <t>전월 전국 경유 평균단가(1,594.01원)</t>
    <phoneticPr fontId="2" type="noConversion"/>
  </si>
  <si>
    <t>183.5m x 전월평균단가 ÷ 9km/리터</t>
    <phoneticPr fontId="2" type="noConversion"/>
  </si>
  <si>
    <t>양산 &gt; 오산</t>
    <phoneticPr fontId="2" type="noConversion"/>
  </si>
  <si>
    <t>ktx (천안 &gt; 울산)</t>
    <phoneticPr fontId="2" type="noConversion"/>
  </si>
  <si>
    <t>버스 (울산 &gt; 양산)</t>
    <phoneticPr fontId="2" type="noConversion"/>
  </si>
  <si>
    <t>첨부1, 2</t>
    <phoneticPr fontId="2" type="noConversion"/>
  </si>
  <si>
    <t>첨부3</t>
    <phoneticPr fontId="2" type="noConversion"/>
  </si>
  <si>
    <t>첨부4</t>
    <phoneticPr fontId="2" type="noConversion"/>
  </si>
  <si>
    <t>외근중식</t>
    <phoneticPr fontId="2" type="noConversion"/>
  </si>
  <si>
    <t>대중교통-지하철</t>
    <phoneticPr fontId="2" type="noConversion"/>
  </si>
  <si>
    <t>대중교통-버스</t>
    <phoneticPr fontId="2" type="noConversion"/>
  </si>
  <si>
    <t>첨부5</t>
    <phoneticPr fontId="2" type="noConversion"/>
  </si>
  <si>
    <t>외근석식</t>
    <phoneticPr fontId="2" type="noConversion"/>
  </si>
  <si>
    <t>첨부6</t>
    <phoneticPr fontId="2" type="noConversion"/>
  </si>
  <si>
    <t>전월 전국 경유 평균단가(1,555.03원)</t>
    <phoneticPr fontId="2" type="noConversion"/>
  </si>
  <si>
    <t>외근 석식</t>
    <phoneticPr fontId="2" type="noConversion"/>
  </si>
  <si>
    <t>외근 중식</t>
    <phoneticPr fontId="2" type="noConversion"/>
  </si>
  <si>
    <t>183.5km x 전월평균단가 ÷ 9km/리터</t>
    <phoneticPr fontId="2" type="noConversion"/>
  </si>
  <si>
    <t>71.8km x 전월평균단가 ÷ 9km/리터</t>
    <phoneticPr fontId="2" type="noConversion"/>
  </si>
  <si>
    <t>양산 &lt;-&gt; 강서(GYT)</t>
    <phoneticPr fontId="2" type="noConversion"/>
  </si>
  <si>
    <t>첨부3</t>
    <phoneticPr fontId="2" type="noConversion"/>
  </si>
  <si>
    <t>첨부4</t>
    <phoneticPr fontId="2" type="noConversion"/>
  </si>
  <si>
    <t>첨부5</t>
    <phoneticPr fontId="2" type="noConversion"/>
  </si>
  <si>
    <t>양산 &lt;-&gt; 거제 삼성중공업</t>
    <phoneticPr fontId="2" type="noConversion"/>
  </si>
  <si>
    <t>184km x 전월평균단가 ÷ 9km/리터</t>
    <phoneticPr fontId="2" type="noConversion"/>
  </si>
  <si>
    <t>출장여비식대</t>
    <phoneticPr fontId="2" type="noConversion"/>
  </si>
  <si>
    <t>첨부01</t>
    <phoneticPr fontId="2" type="noConversion"/>
  </si>
  <si>
    <t>출장숙박</t>
    <phoneticPr fontId="2" type="noConversion"/>
  </si>
  <si>
    <t>첨부02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</si>
  <si>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</si>
  <si>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</si>
  <si>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</si>
  <si>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</si>
  <si>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</si>
  <si>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</si>
  <si>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3월 전국 경유 평균단가(1,555.03원)</t>
    <phoneticPr fontId="2" type="noConversion"/>
  </si>
  <si>
    <t>4월 전국 경유 평균단가(1,513.21원)</t>
    <phoneticPr fontId="2" type="noConversion"/>
  </si>
  <si>
    <t>92km x 전월평균단가 ÷ 9km/리터</t>
    <phoneticPr fontId="2" type="noConversion"/>
  </si>
  <si>
    <t>92km x 전월평균단가 ÷ 9km/리터</t>
    <phoneticPr fontId="2" type="noConversion"/>
  </si>
  <si>
    <t>양산-&gt;창원-&gt;마산-&gt;창원-&gt;거제 삼성중공업</t>
    <phoneticPr fontId="2" type="noConversion"/>
  </si>
  <si>
    <t>양산 -&gt; 거제 삼성중공업</t>
    <phoneticPr fontId="2" type="noConversion"/>
  </si>
  <si>
    <t>양산 &lt;- 거제 삼성중공업</t>
    <phoneticPr fontId="2" type="noConversion"/>
  </si>
  <si>
    <t>182km x 전월평균단가 ÷ 9km/리터</t>
    <phoneticPr fontId="2" type="noConversion"/>
  </si>
  <si>
    <t>양산 &lt;- 거제 삼성중공업</t>
    <phoneticPr fontId="2" type="noConversion"/>
  </si>
  <si>
    <t>첨부2</t>
    <phoneticPr fontId="2" type="noConversion"/>
  </si>
  <si>
    <t>68.4m x 전월평균단가 ÷ 9km/리터</t>
    <phoneticPr fontId="2" type="noConversion"/>
  </si>
  <si>
    <t>첨부02</t>
    <phoneticPr fontId="2" type="noConversion"/>
  </si>
  <si>
    <t>양산 &lt;- 거제 삼성중공업</t>
    <phoneticPr fontId="2" type="noConversion"/>
  </si>
  <si>
    <t>182km x 전월평균단가 ÷ 9km/리터</t>
    <phoneticPr fontId="2" type="noConversion"/>
  </si>
  <si>
    <t>석식대(심태양, 이상주, 이아란, 이마룬 4명)</t>
    <phoneticPr fontId="2" type="noConversion"/>
  </si>
  <si>
    <t>택배비</t>
    <phoneticPr fontId="2" type="noConversion"/>
  </si>
  <si>
    <t>첨부01</t>
    <phoneticPr fontId="2" type="noConversion"/>
  </si>
  <si>
    <t>레이져트레커 타켓 발송의 건(로봇랜드)</t>
    <phoneticPr fontId="2" type="noConversion"/>
  </si>
  <si>
    <t>로봇 쇼크센서 발송의 건(원탑)</t>
    <phoneticPr fontId="2" type="noConversion"/>
  </si>
  <si>
    <t>0km x 전월평균단가 ÷ 9km/리터</t>
    <phoneticPr fontId="2" type="noConversion"/>
  </si>
  <si>
    <t>184.5km x 전월평균단가 ÷ 9km/리터</t>
    <phoneticPr fontId="2" type="noConversion"/>
  </si>
  <si>
    <t>5월 전국 경유 평균단가(1502.15원)</t>
    <phoneticPr fontId="2" type="noConversion"/>
  </si>
  <si>
    <t>양산 &lt;-&gt; 부산역</t>
    <phoneticPr fontId="2" type="noConversion"/>
  </si>
  <si>
    <t>86.9km x 전월평균단가 ÷ 9km/리터</t>
    <phoneticPr fontId="2" type="noConversion"/>
  </si>
  <si>
    <t>첨부02</t>
    <phoneticPr fontId="2" type="noConversion"/>
  </si>
  <si>
    <t>첨부04</t>
    <phoneticPr fontId="2" type="noConversion"/>
  </si>
  <si>
    <t>100.7km x 전월평균단가 ÷ 9km/리터</t>
    <phoneticPr fontId="2" type="noConversion"/>
  </si>
  <si>
    <t>65.9km x 전월평균단가 ÷ 9km/리터</t>
    <phoneticPr fontId="2" type="noConversion"/>
  </si>
  <si>
    <t>양산 &lt;-&gt; 거제(삼성중공업)</t>
    <phoneticPr fontId="2" type="noConversion"/>
  </si>
  <si>
    <t>6월 전국 경유 평균단가(1,505.43원)</t>
    <phoneticPr fontId="2" type="noConversion"/>
  </si>
  <si>
    <t>184.7km x 전월평균단가 ÷ 9km/리터</t>
    <phoneticPr fontId="2" type="noConversion"/>
  </si>
  <si>
    <t>-</t>
    <phoneticPr fontId="2" type="noConversion"/>
  </si>
  <si>
    <t>출장여비</t>
    <phoneticPr fontId="2" type="noConversion"/>
  </si>
  <si>
    <t>중식대(고객사와 식사:삼성중공업)</t>
    <phoneticPr fontId="2" type="noConversion"/>
  </si>
  <si>
    <t>첨부02</t>
    <phoneticPr fontId="2" type="noConversion"/>
  </si>
  <si>
    <t>120.2km x 전월평균단가 ÷ 9km/리터</t>
    <phoneticPr fontId="2" type="noConversion"/>
  </si>
  <si>
    <t>심태양, 이마룬, 고객사 및 협력사
(이동혁, 김격림, 김창수, 최광년) 6명</t>
    <phoneticPr fontId="2" type="noConversion"/>
  </si>
  <si>
    <t>탭배비</t>
    <phoneticPr fontId="2" type="noConversion"/>
  </si>
  <si>
    <t>산막현장시운전 온열질활방지 음료(파워웨이드)</t>
    <phoneticPr fontId="2" type="noConversion"/>
  </si>
  <si>
    <t>화물택배비</t>
    <phoneticPr fontId="2" type="noConversion"/>
  </si>
  <si>
    <t>심태양, 이마룬 휴일 근무 ( 중식 )</t>
    <phoneticPr fontId="2" type="noConversion"/>
  </si>
  <si>
    <t>잔업 석식</t>
    <phoneticPr fontId="2" type="noConversion"/>
  </si>
  <si>
    <t>첨부01</t>
    <phoneticPr fontId="2" type="noConversion"/>
  </si>
  <si>
    <t>7월 전국 경유 평균단가(1,531.55원)</t>
    <phoneticPr fontId="2" type="noConversion"/>
  </si>
  <si>
    <t>잔업 석식(25년 8월 6일, 1명)</t>
    <phoneticPr fontId="2" type="noConversion"/>
  </si>
  <si>
    <t>-</t>
    <phoneticPr fontId="2" type="noConversion"/>
  </si>
  <si>
    <t>-</t>
    <phoneticPr fontId="2" type="noConversion"/>
  </si>
  <si>
    <t>톨비 : 양산 &lt;-&gt; 녹산(중소조선연구원)</t>
    <phoneticPr fontId="2" type="noConversion"/>
  </si>
  <si>
    <t>기차(ktx) 2석(상행, 양산 → 서울)</t>
    <phoneticPr fontId="2" type="noConversion"/>
  </si>
  <si>
    <t>기차(ktx) 2석(상행, 양산 ← 서울)</t>
    <phoneticPr fontId="2" type="noConversion"/>
  </si>
  <si>
    <t>지하철 ( 왕복, 서울 ↔ 마곡 )</t>
    <phoneticPr fontId="2" type="noConversion"/>
  </si>
  <si>
    <t>톨비</t>
    <phoneticPr fontId="2" type="noConversion"/>
  </si>
  <si>
    <t>울산역 주차료</t>
    <phoneticPr fontId="2" type="noConversion"/>
  </si>
  <si>
    <t>석식(심태양, 박태진)</t>
    <phoneticPr fontId="2" type="noConversion"/>
  </si>
  <si>
    <t>조식 (심태양, 박태진)</t>
    <phoneticPr fontId="2" type="noConversion"/>
  </si>
  <si>
    <t>첨부05</t>
    <phoneticPr fontId="2" type="noConversion"/>
  </si>
  <si>
    <t>첨부06</t>
    <phoneticPr fontId="2" type="noConversion"/>
  </si>
  <si>
    <t>첨부01,02</t>
    <phoneticPr fontId="2" type="noConversion"/>
  </si>
  <si>
    <t>휴일근무 중식대 (심태양, 오민환)</t>
    <phoneticPr fontId="2" type="noConversion"/>
  </si>
  <si>
    <t>고속도로 톨비 ( 왕복, 양산 ↔ 사상 )</t>
    <phoneticPr fontId="2" type="noConversion"/>
  </si>
  <si>
    <t>[첨부01]</t>
    <phoneticPr fontId="2" type="noConversion"/>
  </si>
  <si>
    <t>출장식대</t>
    <phoneticPr fontId="2" type="noConversion"/>
  </si>
  <si>
    <t>출장비</t>
    <phoneticPr fontId="2" type="noConversion"/>
  </si>
  <si>
    <t>톨비(연휴)</t>
    <phoneticPr fontId="2" type="noConversion"/>
  </si>
  <si>
    <t>출장톨비</t>
    <phoneticPr fontId="2" type="noConversion"/>
  </si>
  <si>
    <t>[첨부02]</t>
    <phoneticPr fontId="2" type="noConversion"/>
  </si>
  <si>
    <t>[첨부03]</t>
    <phoneticPr fontId="2" type="noConversion"/>
  </si>
  <si>
    <t>출장비, 출장식대</t>
    <phoneticPr fontId="2" type="noConversion"/>
  </si>
  <si>
    <t xml:space="preserve">
</t>
    <phoneticPr fontId="2" type="noConversion"/>
  </si>
  <si>
    <t>월</t>
  </si>
  <si>
    <t>화</t>
  </si>
  <si>
    <t>수</t>
  </si>
  <si>
    <t>목</t>
  </si>
  <si>
    <t>금</t>
  </si>
  <si>
    <t>토</t>
  </si>
  <si>
    <t>일</t>
  </si>
  <si>
    <t>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</si>
</sst>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mm&quot;월&quot;\ dd&quot;일&quot;"/>
    <numFmt numFmtId="177" formatCode="_-* #,##0.00_-;\-* #,##0.00_-;_-* &quot;-&quot;_-;_-@_-"/>
    <numFmt numFmtId="178" formatCode="_-* #,##0.0_-;\-* #,##0.0_-;_-* &quot;-&quot;_-;_-@_-"/>
    <numFmt numFmtId="179" formatCode="#,##0.00_ "/>
    <numFmt numFmtId="180" formatCode="00.0&quot;km x 전월평균단가 ÷ 9km/리터&quot;"/>
    <numFmt numFmtId="181" formatCode="\8&quot;월&quot;\ &quot;전&quot;&quot;국&quot;\ &quot;경&quot;&quot;유&quot;\ &quot;평&quot;&quot;균&quot;&quot;단&quot;&quot;가&quot;\(0,000.00&quot;원&quot;\)"/>
    <numFmt numFmtId="182" formatCode="&quot;전&quot;&quot;월&quot;\ &quot;전&quot;&quot;국&quot;\ &quot;경&quot;&quot;유&quot;\ &quot;평&quot;&quot;균&quot;&quot;단&quot;&quot;가&quot;\(0,000.00&quot;원&quot;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41" fontId="0" fillId="4" borderId="3" xfId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41" fontId="0" fillId="4" borderId="4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4" fillId="3" borderId="8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7" fontId="0" fillId="4" borderId="4" xfId="1" applyNumberFormat="1" applyFont="1" applyFill="1" applyBorder="1" applyAlignment="1">
      <alignment horizontal="center" vertical="center"/>
    </xf>
    <xf numFmtId="177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8" fontId="0" fillId="4" borderId="1" xfId="1" applyNumberFormat="1" applyFont="1" applyFill="1" applyBorder="1" applyAlignment="1">
      <alignment horizontal="center" vertical="center"/>
    </xf>
    <xf numFmtId="178" fontId="0" fillId="4" borderId="2" xfId="1" applyNumberFormat="1" applyFont="1" applyFill="1" applyBorder="1" applyAlignment="1">
      <alignment horizontal="center" vertical="center"/>
    </xf>
    <xf numFmtId="178" fontId="0" fillId="4" borderId="3" xfId="1" applyNumberFormat="1" applyFont="1" applyFill="1" applyBorder="1" applyAlignment="1">
      <alignment horizontal="center" vertical="center"/>
    </xf>
    <xf numFmtId="178" fontId="0" fillId="4" borderId="4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1" fontId="0" fillId="4" borderId="2" xfId="0" applyNumberFormat="1" applyFill="1" applyBorder="1" applyAlignment="1">
      <alignment horizontal="center" vertical="center"/>
    </xf>
    <xf numFmtId="41" fontId="0" fillId="4" borderId="2" xfId="1" applyNumberFormat="1" applyFont="1" applyFill="1" applyBorder="1" applyAlignment="1">
      <alignment horizontal="center" vertical="center"/>
    </xf>
    <xf numFmtId="41" fontId="0" fillId="4" borderId="1" xfId="1" applyNumberFormat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41" fontId="0" fillId="2" borderId="2" xfId="0" applyNumberFormat="1" applyFill="1" applyBorder="1" applyAlignment="1">
      <alignment horizontal="center" vertical="center"/>
    </xf>
    <xf numFmtId="41" fontId="0" fillId="2" borderId="2" xfId="1" applyNumberFormat="1" applyFont="1" applyFill="1" applyBorder="1" applyAlignment="1">
      <alignment horizontal="center" vertical="center"/>
    </xf>
    <xf numFmtId="41" fontId="0" fillId="2" borderId="2" xfId="1" applyFon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41" fontId="0" fillId="0" borderId="2" xfId="0" applyNumberFormat="1" applyFill="1" applyBorder="1" applyAlignment="1">
      <alignment horizontal="center" vertical="center"/>
    </xf>
    <xf numFmtId="41" fontId="0" fillId="0" borderId="2" xfId="1" applyNumberFormat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38" fontId="0" fillId="0" borderId="2" xfId="0" applyNumberFormat="1" applyFill="1" applyBorder="1" applyAlignment="1">
      <alignment horizontal="right" vertical="center"/>
    </xf>
    <xf numFmtId="38" fontId="0" fillId="0" borderId="2" xfId="1" applyNumberFormat="1" applyFont="1" applyFill="1" applyBorder="1" applyAlignment="1">
      <alignment horizontal="right" vertical="center"/>
    </xf>
    <xf numFmtId="38" fontId="0" fillId="0" borderId="1" xfId="1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38" fontId="9" fillId="0" borderId="1" xfId="0" applyNumberFormat="1" applyFont="1" applyFill="1" applyBorder="1" applyAlignment="1">
      <alignment horizontal="right" vertical="center"/>
    </xf>
    <xf numFmtId="38" fontId="9" fillId="0" borderId="1" xfId="1" applyNumberFormat="1" applyFont="1" applyFill="1" applyBorder="1" applyAlignment="1">
      <alignment horizontal="right" vertical="center"/>
    </xf>
    <xf numFmtId="41" fontId="9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0" fontId="0" fillId="0" borderId="1" xfId="1" applyNumberFormat="1" applyFont="1" applyFill="1" applyBorder="1" applyAlignment="1">
      <alignment horizontal="right" vertical="center"/>
    </xf>
    <xf numFmtId="38" fontId="4" fillId="3" borderId="1" xfId="1" applyNumberFormat="1" applyFont="1" applyFill="1" applyBorder="1" applyAlignment="1">
      <alignment vertical="center"/>
    </xf>
    <xf numFmtId="38" fontId="3" fillId="3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8" fontId="0" fillId="0" borderId="1" xfId="1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8" fontId="4" fillId="3" borderId="1" xfId="1" applyNumberFormat="1" applyFon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/>
    </xf>
    <xf numFmtId="38" fontId="4" fillId="3" borderId="10" xfId="1" applyNumberFormat="1" applyFont="1" applyFill="1" applyBorder="1" applyAlignment="1">
      <alignment vertical="center"/>
    </xf>
    <xf numFmtId="38" fontId="4" fillId="3" borderId="11" xfId="1" applyNumberFormat="1" applyFont="1" applyFill="1" applyBorder="1" applyAlignment="1">
      <alignment vertical="center"/>
    </xf>
    <xf numFmtId="38" fontId="4" fillId="3" borderId="12" xfId="1" applyNumberFormat="1" applyFont="1" applyFill="1" applyBorder="1" applyAlignment="1">
      <alignment vertical="center"/>
    </xf>
    <xf numFmtId="14" fontId="0" fillId="0" borderId="2" xfId="0" applyNumberForma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0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38" fontId="0" fillId="0" borderId="1" xfId="0" applyNumberFormat="1" applyFill="1" applyBorder="1" applyAlignment="1" applyProtection="1">
      <alignment horizontal="right" vertical="center"/>
      <protection locked="0"/>
    </xf>
    <xf numFmtId="38" fontId="0" fillId="0" borderId="1" xfId="1" applyNumberFormat="1" applyFont="1" applyFill="1" applyBorder="1" applyAlignment="1" applyProtection="1">
      <alignment horizontal="right" vertical="center"/>
      <protection locked="0"/>
    </xf>
    <xf numFmtId="40" fontId="0" fillId="0" borderId="1" xfId="1" applyNumberFormat="1" applyFont="1" applyFill="1" applyBorder="1" applyAlignment="1" applyProtection="1">
      <alignment horizontal="right" vertical="center"/>
      <protection locked="0"/>
    </xf>
    <xf numFmtId="41" fontId="0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41" fontId="4" fillId="3" borderId="1" xfId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>
      <alignment horizontal="center" vertical="center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38" fontId="4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38" fontId="0" fillId="0" borderId="2" xfId="0" applyNumberFormat="1" applyFill="1" applyBorder="1" applyAlignment="1" applyProtection="1">
      <alignment horizontal="right" vertical="center"/>
      <protection locked="0"/>
    </xf>
    <xf numFmtId="38" fontId="0" fillId="0" borderId="2" xfId="1" applyNumberFormat="1" applyFont="1" applyFill="1" applyBorder="1" applyAlignment="1" applyProtection="1">
      <alignment horizontal="right" vertical="center"/>
      <protection locked="0"/>
    </xf>
    <xf numFmtId="40" fontId="0" fillId="0" borderId="2" xfId="1" applyNumberFormat="1" applyFont="1" applyFill="1" applyBorder="1" applyAlignment="1" applyProtection="1">
      <alignment horizontal="right" vertical="center"/>
      <protection locked="0"/>
    </xf>
    <xf numFmtId="176" fontId="0" fillId="0" borderId="10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 applyProtection="1">
      <alignment horizontal="center" vertical="center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41" fontId="0" fillId="0" borderId="1" xfId="1" applyFont="1" applyFill="1" applyBorder="1" applyAlignment="1" applyProtection="1">
      <alignment horizontal="right" vertical="center"/>
      <protection locked="0"/>
    </xf>
    <xf numFmtId="41" fontId="0" fillId="0" borderId="1" xfId="1" applyFont="1" applyFill="1" applyBorder="1" applyAlignment="1">
      <alignment horizontal="right" vertical="center"/>
    </xf>
    <xf numFmtId="41" fontId="0" fillId="0" borderId="1" xfId="1" applyNumberFormat="1" applyFont="1" applyFill="1" applyBorder="1" applyAlignment="1" applyProtection="1">
      <alignment horizontal="right" vertical="center"/>
      <protection locked="0"/>
    </xf>
    <xf numFmtId="41" fontId="0" fillId="0" borderId="1" xfId="1" applyNumberFormat="1" applyFont="1" applyFill="1" applyBorder="1" applyAlignment="1">
      <alignment horizontal="right" vertical="center"/>
    </xf>
    <xf numFmtId="181" fontId="5" fillId="3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3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82" fontId="5" fillId="3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 applyProtection="1">
      <alignment horizontal="center" vertical="center"/>
      <protection locked="0"/>
    </xf>
    <xf numFmtId="176" fontId="0" fillId="0" borderId="3" xfId="0" applyNumberFormat="1" applyFill="1" applyBorder="1" applyAlignment="1" applyProtection="1">
      <alignment horizontal="center" vertical="center"/>
      <protection locked="0"/>
    </xf>
    <xf numFmtId="176" fontId="0" fillId="0" borderId="4" xfId="0" applyNumberForma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38" fontId="4" fillId="3" borderId="1" xfId="1" applyNumberFormat="1" applyFont="1" applyFill="1" applyBorder="1" applyAlignment="1" applyProtection="1">
      <alignment horizontal="right" vertical="center"/>
      <protection locked="0"/>
    </xf>
    <xf numFmtId="176" fontId="0" fillId="0" borderId="2" xfId="0" applyNumberFormat="1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38" fontId="4" fillId="3" borderId="10" xfId="1" applyNumberFormat="1" applyFont="1" applyFill="1" applyBorder="1" applyAlignment="1" applyProtection="1">
      <alignment horizontal="right" vertical="center"/>
      <protection locked="0"/>
    </xf>
    <xf numFmtId="38" fontId="4" fillId="3" borderId="11" xfId="1" applyNumberFormat="1" applyFont="1" applyFill="1" applyBorder="1" applyAlignment="1" applyProtection="1">
      <alignment horizontal="right" vertical="center"/>
      <protection locked="0"/>
    </xf>
    <xf numFmtId="38" fontId="4" fillId="3" borderId="12" xfId="1" applyNumberFormat="1" applyFont="1" applyFill="1" applyBorder="1" applyAlignment="1" applyProtection="1">
      <alignment horizontal="right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12" xfId="0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38" fontId="4" fillId="3" borderId="1" xfId="1" applyNumberFormat="1" applyFont="1" applyFill="1" applyBorder="1" applyAlignment="1">
      <alignment horizontal="right" vertical="center"/>
    </xf>
    <xf numFmtId="176" fontId="0" fillId="0" borderId="1" xfId="0" applyNumberForma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/>
    </xf>
    <xf numFmtId="176" fontId="9" fillId="0" borderId="4" xfId="0" applyNumberFormat="1" applyFont="1" applyFill="1" applyBorder="1" applyAlignment="1">
      <alignment horizontal="center" vertical="center"/>
    </xf>
    <xf numFmtId="38" fontId="0" fillId="0" borderId="10" xfId="1" applyNumberFormat="1" applyFont="1" applyFill="1" applyBorder="1" applyAlignment="1">
      <alignment horizontal="center" vertical="center"/>
    </xf>
    <xf numFmtId="38" fontId="0" fillId="0" borderId="11" xfId="1" applyNumberFormat="1" applyFont="1" applyFill="1" applyBorder="1" applyAlignment="1">
      <alignment horizontal="center" vertical="center"/>
    </xf>
    <xf numFmtId="38" fontId="0" fillId="0" borderId="12" xfId="1" applyNumberFormat="1" applyFont="1" applyFill="1" applyBorder="1" applyAlignment="1">
      <alignment horizontal="center" vertical="center"/>
    </xf>
    <xf numFmtId="38" fontId="4" fillId="3" borderId="10" xfId="1" applyNumberFormat="1" applyFont="1" applyFill="1" applyBorder="1" applyAlignment="1">
      <alignment horizontal="center" vertical="center"/>
    </xf>
    <xf numFmtId="38" fontId="4" fillId="3" borderId="11" xfId="1" applyNumberFormat="1" applyFont="1" applyFill="1" applyBorder="1" applyAlignment="1">
      <alignment horizontal="center" vertical="center"/>
    </xf>
    <xf numFmtId="38" fontId="4" fillId="3" borderId="12" xfId="1" applyNumberFormat="1" applyFon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8" fontId="4" fillId="3" borderId="10" xfId="1" applyNumberFormat="1" applyFont="1" applyFill="1" applyBorder="1" applyAlignment="1">
      <alignment horizontal="right" vertical="center"/>
    </xf>
    <xf numFmtId="38" fontId="4" fillId="3" borderId="11" xfId="1" applyNumberFormat="1" applyFont="1" applyFill="1" applyBorder="1" applyAlignment="1">
      <alignment horizontal="right" vertical="center"/>
    </xf>
    <xf numFmtId="38" fontId="4" fillId="3" borderId="12" xfId="1" applyNumberFormat="1" applyFont="1" applyFill="1" applyBorder="1" applyAlignment="1">
      <alignment horizontal="right" vertical="center"/>
    </xf>
    <xf numFmtId="38" fontId="3" fillId="3" borderId="10" xfId="0" applyNumberFormat="1" applyFont="1" applyFill="1" applyBorder="1" applyAlignment="1">
      <alignment horizontal="center" vertical="center"/>
    </xf>
    <xf numFmtId="38" fontId="3" fillId="3" borderId="11" xfId="0" applyNumberFormat="1" applyFont="1" applyFill="1" applyBorder="1" applyAlignment="1">
      <alignment horizontal="center" vertical="center"/>
    </xf>
    <xf numFmtId="38" fontId="3" fillId="3" borderId="12" xfId="0" applyNumberFormat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4" fillId="3" borderId="10" xfId="1" applyFont="1" applyFill="1" applyBorder="1" applyAlignment="1">
      <alignment horizontal="center" vertical="center"/>
    </xf>
    <xf numFmtId="41" fontId="4" fillId="3" borderId="11" xfId="1" applyFont="1" applyFill="1" applyBorder="1" applyAlignment="1">
      <alignment horizontal="center" vertical="center"/>
    </xf>
    <xf numFmtId="41" fontId="4" fillId="3" borderId="12" xfId="1" applyFont="1" applyFill="1" applyBorder="1" applyAlignment="1">
      <alignment horizontal="center" vertical="center"/>
    </xf>
    <xf numFmtId="41" fontId="4" fillId="3" borderId="10" xfId="1" applyFont="1" applyFill="1" applyBorder="1" applyAlignment="1">
      <alignment vertical="center"/>
    </xf>
    <xf numFmtId="41" fontId="4" fillId="3" borderId="11" xfId="1" applyFont="1" applyFill="1" applyBorder="1" applyAlignment="1">
      <alignment vertical="center"/>
    </xf>
    <xf numFmtId="41" fontId="4" fillId="3" borderId="12" xfId="1" applyFont="1" applyFill="1" applyBorder="1" applyAlignment="1">
      <alignment vertical="center"/>
    </xf>
    <xf numFmtId="176" fontId="0" fillId="4" borderId="4" xfId="0" applyNumberForma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1" fontId="0" fillId="4" borderId="2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1" fontId="4" fillId="3" borderId="6" xfId="1" applyFont="1" applyFill="1" applyBorder="1" applyAlignment="1">
      <alignment horizontal="center" vertical="center"/>
    </xf>
    <xf numFmtId="41" fontId="4" fillId="3" borderId="7" xfId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38" fontId="0" fillId="0" borderId="2" xfId="0" applyNumberFormat="1" applyFill="1" applyBorder="1" applyAlignment="1">
      <alignment horizontal="center" vertical="center"/>
    </xf>
    <xf numFmtId="38" fontId="0" fillId="0" borderId="4" xfId="0" applyNumberFormat="1" applyFill="1" applyBorder="1" applyAlignment="1">
      <alignment horizontal="center" vertical="center"/>
    </xf>
    <xf numFmtId="38" fontId="0" fillId="0" borderId="10" xfId="0" applyNumberFormat="1" applyFill="1" applyBorder="1" applyAlignment="1">
      <alignment horizontal="center" vertical="center"/>
    </xf>
    <xf numFmtId="38" fontId="0" fillId="0" borderId="11" xfId="0" applyNumberFormat="1" applyFill="1" applyBorder="1" applyAlignment="1">
      <alignment horizontal="center" vertical="center"/>
    </xf>
    <xf numFmtId="38" fontId="0" fillId="0" borderId="12" xfId="0" applyNumberForma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38" fontId="0" fillId="0" borderId="3" xfId="0" applyNumberFormat="1" applyFill="1" applyBorder="1" applyAlignment="1">
      <alignment horizontal="center" vertical="center"/>
    </xf>
    <xf numFmtId="38" fontId="4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06"/>
  <sheetViews>
    <sheetView tabSelected="1" topLeftCell="A1799" zoomScale="160" zoomScaleNormal="160" workbookViewId="0">
      <selection activeCell="L1806" sqref="A1714:L1806"/>
    </sheetView>
  </sheetViews>
  <sheetFormatPr defaultColWidth="9" defaultRowHeight="25.2" customHeight="1" x14ac:dyDescent="0.4"/>
  <cols>
    <col min="1" max="1" width="11.19921875" style="1" bestFit="1" customWidth="1"/>
    <col min="2" max="2" width="9.69921875" style="1" bestFit="1" customWidth="1"/>
    <col min="3" max="4" width="9.69921875" style="1" customWidth="1"/>
    <col min="5" max="5" width="9.5" style="1" bestFit="1" customWidth="1"/>
    <col min="6" max="6" width="10.8984375" style="1" bestFit="1" customWidth="1"/>
    <col min="7" max="7" width="9" style="1" hidden="1" customWidth="1"/>
    <col min="8" max="8" width="14.09765625" style="1" hidden="1" customWidth="1"/>
    <col min="9" max="9" width="9.8984375" style="1" bestFit="1" customWidth="1"/>
    <col min="10" max="10" width="9.19921875" style="1" bestFit="1" customWidth="1"/>
    <col min="11" max="11" width="9" style="1"/>
    <col min="12" max="12" width="41.3984375" style="1" customWidth="1"/>
    <col min="13" max="16384" width="9" style="1"/>
  </cols>
  <sheetData>
    <row r="1" spans="1:12" ht="25.2" customHeight="1" x14ac:dyDescent="0.4">
      <c r="A1" s="6" t="s">
        <v>0</v>
      </c>
      <c r="B1" s="6" t="s">
        <v>1</v>
      </c>
      <c r="C1" s="6"/>
      <c r="D1" s="6"/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/>
      <c r="L1" s="6" t="s">
        <v>8</v>
      </c>
    </row>
    <row r="2" spans="1:12" ht="25.2" customHeight="1" x14ac:dyDescent="0.4">
      <c r="A2" s="700">
        <v>43843</v>
      </c>
      <c r="B2" s="700" t="s">
        <v>10</v>
      </c>
      <c r="C2" s="157"/>
      <c r="D2" s="157"/>
      <c r="E2" s="3"/>
      <c r="F2" s="3">
        <f>295*1385.42/9</f>
        <v>45410.988888888889</v>
      </c>
      <c r="G2" s="3"/>
      <c r="H2" s="3"/>
      <c r="I2" s="3"/>
      <c r="J2" s="3"/>
      <c r="K2" s="17"/>
      <c r="L2" s="2" t="s">
        <v>21</v>
      </c>
    </row>
    <row r="3" spans="1:12" ht="25.2" customHeight="1" x14ac:dyDescent="0.4">
      <c r="A3" s="700"/>
      <c r="B3" s="700"/>
      <c r="C3" s="157"/>
      <c r="D3" s="157"/>
      <c r="E3" s="3"/>
      <c r="F3" s="3"/>
      <c r="G3" s="3"/>
      <c r="H3" s="3"/>
      <c r="I3" s="3">
        <v>10000</v>
      </c>
      <c r="J3" s="3">
        <v>18000</v>
      </c>
      <c r="K3" s="17"/>
      <c r="L3" s="2"/>
    </row>
    <row r="4" spans="1:12" ht="25.2" customHeight="1" x14ac:dyDescent="0.4">
      <c r="A4" s="700"/>
      <c r="B4" s="700"/>
      <c r="C4" s="157"/>
      <c r="D4" s="157"/>
      <c r="E4" s="3">
        <v>12500</v>
      </c>
      <c r="F4" s="3"/>
      <c r="G4" s="3"/>
      <c r="H4" s="3"/>
      <c r="I4" s="3"/>
      <c r="J4" s="3"/>
      <c r="K4" s="17"/>
      <c r="L4" s="2"/>
    </row>
    <row r="5" spans="1:12" ht="25.2" customHeight="1" x14ac:dyDescent="0.4">
      <c r="A5" s="700">
        <v>43844</v>
      </c>
      <c r="B5" s="700" t="s">
        <v>11</v>
      </c>
      <c r="C5" s="157"/>
      <c r="D5" s="157"/>
      <c r="E5" s="3"/>
      <c r="F5" s="3">
        <f>12*1385.42/9</f>
        <v>1847.2266666666667</v>
      </c>
      <c r="G5" s="3"/>
      <c r="H5" s="3"/>
      <c r="I5" s="3"/>
      <c r="J5" s="3"/>
      <c r="K5" s="17"/>
      <c r="L5" s="2" t="s">
        <v>20</v>
      </c>
    </row>
    <row r="6" spans="1:12" ht="25.2" customHeight="1" x14ac:dyDescent="0.4">
      <c r="A6" s="700"/>
      <c r="B6" s="700"/>
      <c r="C6" s="157"/>
      <c r="D6" s="157"/>
      <c r="E6" s="3"/>
      <c r="F6" s="3"/>
      <c r="G6" s="3"/>
      <c r="H6" s="3"/>
      <c r="I6" s="3">
        <v>10000</v>
      </c>
      <c r="J6" s="3">
        <v>18000</v>
      </c>
      <c r="K6" s="17"/>
      <c r="L6" s="2"/>
    </row>
    <row r="7" spans="1:12" ht="25.2" customHeight="1" x14ac:dyDescent="0.4">
      <c r="A7" s="700">
        <v>43845</v>
      </c>
      <c r="B7" s="700" t="s">
        <v>12</v>
      </c>
      <c r="C7" s="157"/>
      <c r="D7" s="157"/>
      <c r="E7" s="3"/>
      <c r="F7" s="3">
        <f>12*1385.42/9</f>
        <v>1847.2266666666667</v>
      </c>
      <c r="G7" s="3"/>
      <c r="H7" s="3"/>
      <c r="I7" s="3"/>
      <c r="J7" s="3"/>
      <c r="K7" s="17"/>
      <c r="L7" s="2" t="s">
        <v>20</v>
      </c>
    </row>
    <row r="8" spans="1:12" ht="25.2" customHeight="1" x14ac:dyDescent="0.4">
      <c r="A8" s="700"/>
      <c r="B8" s="700"/>
      <c r="C8" s="157"/>
      <c r="D8" s="157"/>
      <c r="E8" s="3"/>
      <c r="F8" s="3"/>
      <c r="G8" s="3"/>
      <c r="H8" s="3"/>
      <c r="I8" s="3">
        <v>10000</v>
      </c>
      <c r="J8" s="3">
        <v>18000</v>
      </c>
      <c r="K8" s="17"/>
      <c r="L8" s="2"/>
    </row>
    <row r="9" spans="1:12" ht="25.2" customHeight="1" x14ac:dyDescent="0.4">
      <c r="A9" s="700">
        <v>43846</v>
      </c>
      <c r="B9" s="700" t="s">
        <v>13</v>
      </c>
      <c r="C9" s="157"/>
      <c r="D9" s="157"/>
      <c r="E9" s="3"/>
      <c r="F9" s="3">
        <f>12*1385.42/9</f>
        <v>1847.2266666666667</v>
      </c>
      <c r="G9" s="3"/>
      <c r="H9" s="3"/>
      <c r="I9" s="3"/>
      <c r="J9" s="3"/>
      <c r="K9" s="17"/>
      <c r="L9" s="2" t="s">
        <v>20</v>
      </c>
    </row>
    <row r="10" spans="1:12" ht="25.2" customHeight="1" x14ac:dyDescent="0.4">
      <c r="A10" s="700"/>
      <c r="B10" s="700"/>
      <c r="C10" s="157"/>
      <c r="D10" s="157"/>
      <c r="E10" s="3"/>
      <c r="F10" s="3"/>
      <c r="G10" s="3"/>
      <c r="H10" s="3"/>
      <c r="I10" s="3">
        <v>10000</v>
      </c>
      <c r="J10" s="3">
        <v>18000</v>
      </c>
      <c r="K10" s="17"/>
      <c r="L10" s="2"/>
    </row>
    <row r="11" spans="1:12" ht="25.2" customHeight="1" x14ac:dyDescent="0.4">
      <c r="A11" s="700">
        <v>43847</v>
      </c>
      <c r="B11" s="700" t="s">
        <v>14</v>
      </c>
      <c r="C11" s="157"/>
      <c r="D11" s="157"/>
      <c r="E11" s="3"/>
      <c r="F11" s="3">
        <f>12*1385.42/9</f>
        <v>1847.2266666666667</v>
      </c>
      <c r="G11" s="3"/>
      <c r="H11" s="3"/>
      <c r="I11" s="3"/>
      <c r="J11" s="3"/>
      <c r="K11" s="17"/>
      <c r="L11" s="2" t="s">
        <v>20</v>
      </c>
    </row>
    <row r="12" spans="1:12" ht="25.2" customHeight="1" x14ac:dyDescent="0.4">
      <c r="A12" s="700"/>
      <c r="B12" s="700"/>
      <c r="C12" s="157"/>
      <c r="D12" s="157"/>
      <c r="E12" s="3"/>
      <c r="F12" s="3"/>
      <c r="G12" s="3"/>
      <c r="H12" s="3"/>
      <c r="I12" s="3">
        <v>10000</v>
      </c>
      <c r="J12" s="3">
        <v>18000</v>
      </c>
      <c r="K12" s="17"/>
      <c r="L12" s="2"/>
    </row>
    <row r="13" spans="1:12" ht="25.2" customHeight="1" x14ac:dyDescent="0.4">
      <c r="A13" s="700">
        <v>43848</v>
      </c>
      <c r="B13" s="700" t="s">
        <v>15</v>
      </c>
      <c r="C13" s="157"/>
      <c r="D13" s="157"/>
      <c r="E13" s="3"/>
      <c r="F13" s="3">
        <f>12*1385.42/9</f>
        <v>1847.2266666666667</v>
      </c>
      <c r="G13" s="3"/>
      <c r="H13" s="3"/>
      <c r="I13" s="3"/>
      <c r="J13" s="3"/>
      <c r="K13" s="17"/>
      <c r="L13" s="2" t="s">
        <v>20</v>
      </c>
    </row>
    <row r="14" spans="1:12" ht="25.2" customHeight="1" x14ac:dyDescent="0.4">
      <c r="A14" s="700"/>
      <c r="B14" s="700"/>
      <c r="C14" s="157"/>
      <c r="D14" s="157"/>
      <c r="E14" s="3"/>
      <c r="F14" s="3"/>
      <c r="G14" s="3"/>
      <c r="H14" s="3"/>
      <c r="I14" s="3">
        <v>10000</v>
      </c>
      <c r="J14" s="3">
        <v>18000</v>
      </c>
      <c r="K14" s="17"/>
      <c r="L14" s="2"/>
    </row>
    <row r="15" spans="1:12" ht="25.2" customHeight="1" x14ac:dyDescent="0.4">
      <c r="A15" s="700">
        <v>43849</v>
      </c>
      <c r="B15" s="707" t="s">
        <v>16</v>
      </c>
      <c r="C15" s="161"/>
      <c r="D15" s="161"/>
      <c r="E15" s="3"/>
      <c r="F15" s="3">
        <f>12*1385.42/9</f>
        <v>1847.2266666666667</v>
      </c>
      <c r="G15" s="3"/>
      <c r="H15" s="3"/>
      <c r="I15" s="3"/>
      <c r="J15" s="3"/>
      <c r="K15" s="17"/>
      <c r="L15" s="2" t="s">
        <v>20</v>
      </c>
    </row>
    <row r="16" spans="1:12" ht="25.2" customHeight="1" x14ac:dyDescent="0.4">
      <c r="A16" s="700"/>
      <c r="B16" s="707"/>
      <c r="C16" s="161"/>
      <c r="D16" s="161"/>
      <c r="E16" s="3"/>
      <c r="F16" s="3"/>
      <c r="G16" s="3"/>
      <c r="H16" s="3"/>
      <c r="I16" s="3">
        <v>20000</v>
      </c>
      <c r="J16" s="3">
        <v>18000</v>
      </c>
      <c r="K16" s="17"/>
      <c r="L16" s="2"/>
    </row>
    <row r="17" spans="1:14" ht="25.2" customHeight="1" x14ac:dyDescent="0.4">
      <c r="A17" s="700">
        <v>43850</v>
      </c>
      <c r="B17" s="700" t="s">
        <v>9</v>
      </c>
      <c r="C17" s="157"/>
      <c r="D17" s="157"/>
      <c r="E17" s="3"/>
      <c r="F17" s="3">
        <f>12*1385.42/9</f>
        <v>1847.2266666666667</v>
      </c>
      <c r="G17" s="3"/>
      <c r="H17" s="3"/>
      <c r="I17" s="3"/>
      <c r="J17" s="3"/>
      <c r="K17" s="17"/>
      <c r="L17" s="2" t="s">
        <v>20</v>
      </c>
    </row>
    <row r="18" spans="1:14" ht="25.2" customHeight="1" x14ac:dyDescent="0.4">
      <c r="A18" s="700"/>
      <c r="B18" s="700"/>
      <c r="C18" s="157"/>
      <c r="D18" s="157"/>
      <c r="E18" s="3"/>
      <c r="F18" s="3"/>
      <c r="G18" s="3"/>
      <c r="H18" s="3"/>
      <c r="I18" s="3">
        <v>10000</v>
      </c>
      <c r="J18" s="3">
        <v>18000</v>
      </c>
      <c r="K18" s="17"/>
      <c r="L18" s="2"/>
    </row>
    <row r="19" spans="1:14" ht="25.2" customHeight="1" x14ac:dyDescent="0.4">
      <c r="A19" s="700">
        <v>43851</v>
      </c>
      <c r="B19" s="700" t="s">
        <v>11</v>
      </c>
      <c r="C19" s="157"/>
      <c r="D19" s="157"/>
      <c r="E19" s="3"/>
      <c r="F19" s="3">
        <f>12*1385.42/9</f>
        <v>1847.2266666666667</v>
      </c>
      <c r="G19" s="3"/>
      <c r="H19" s="3"/>
      <c r="I19" s="3"/>
      <c r="J19" s="3"/>
      <c r="K19" s="17"/>
      <c r="L19" s="2" t="s">
        <v>20</v>
      </c>
    </row>
    <row r="20" spans="1:14" ht="25.2" customHeight="1" x14ac:dyDescent="0.4">
      <c r="A20" s="700"/>
      <c r="B20" s="700"/>
      <c r="C20" s="157"/>
      <c r="D20" s="157"/>
      <c r="E20" s="3"/>
      <c r="F20" s="3"/>
      <c r="G20" s="3"/>
      <c r="H20" s="3"/>
      <c r="I20" s="3">
        <v>10000</v>
      </c>
      <c r="J20" s="3">
        <v>18000</v>
      </c>
      <c r="K20" s="17"/>
      <c r="L20" s="2"/>
    </row>
    <row r="21" spans="1:14" ht="25.2" customHeight="1" x14ac:dyDescent="0.4">
      <c r="A21" s="700">
        <v>43852</v>
      </c>
      <c r="B21" s="700" t="s">
        <v>12</v>
      </c>
      <c r="C21" s="157"/>
      <c r="D21" s="157"/>
      <c r="E21" s="3"/>
      <c r="F21" s="3">
        <f>12*1385.42/9</f>
        <v>1847.2266666666667</v>
      </c>
      <c r="G21" s="3"/>
      <c r="H21" s="3"/>
      <c r="I21" s="3"/>
      <c r="J21" s="3"/>
      <c r="K21" s="17"/>
      <c r="L21" s="2" t="s">
        <v>20</v>
      </c>
    </row>
    <row r="22" spans="1:14" ht="25.2" customHeight="1" x14ac:dyDescent="0.4">
      <c r="A22" s="700"/>
      <c r="B22" s="700"/>
      <c r="C22" s="157"/>
      <c r="D22" s="157"/>
      <c r="E22" s="3"/>
      <c r="F22" s="3"/>
      <c r="G22" s="3"/>
      <c r="H22" s="3"/>
      <c r="I22" s="3">
        <v>10000</v>
      </c>
      <c r="J22" s="3">
        <v>18000</v>
      </c>
      <c r="K22" s="17"/>
      <c r="L22" s="2"/>
    </row>
    <row r="23" spans="1:14" ht="25.2" customHeight="1" x14ac:dyDescent="0.4">
      <c r="A23" s="700">
        <v>43853</v>
      </c>
      <c r="B23" s="700" t="s">
        <v>13</v>
      </c>
      <c r="C23" s="157"/>
      <c r="D23" s="157"/>
      <c r="E23" s="3"/>
      <c r="F23" s="3"/>
      <c r="G23" s="3"/>
      <c r="H23" s="3"/>
      <c r="I23" s="3">
        <v>10000</v>
      </c>
      <c r="J23" s="3">
        <v>18000</v>
      </c>
      <c r="K23" s="17"/>
      <c r="L23" s="2"/>
    </row>
    <row r="24" spans="1:14" ht="25.2" customHeight="1" x14ac:dyDescent="0.4">
      <c r="A24" s="700"/>
      <c r="B24" s="700"/>
      <c r="C24" s="157"/>
      <c r="D24" s="157"/>
      <c r="E24" s="3"/>
      <c r="F24" s="3">
        <f>295*1385.42/9</f>
        <v>45410.988888888889</v>
      </c>
      <c r="G24" s="3"/>
      <c r="H24" s="3"/>
      <c r="I24" s="3"/>
      <c r="J24" s="3"/>
      <c r="K24" s="17"/>
      <c r="L24" s="2" t="s">
        <v>21</v>
      </c>
    </row>
    <row r="25" spans="1:14" ht="25.2" customHeight="1" x14ac:dyDescent="0.4">
      <c r="A25" s="700"/>
      <c r="B25" s="700"/>
      <c r="C25" s="157"/>
      <c r="D25" s="157"/>
      <c r="E25" s="3">
        <v>12100</v>
      </c>
      <c r="F25" s="3"/>
      <c r="G25" s="3"/>
      <c r="H25" s="3"/>
      <c r="I25" s="3"/>
      <c r="J25" s="3"/>
      <c r="K25" s="17"/>
      <c r="L25" s="2"/>
    </row>
    <row r="26" spans="1:14" ht="25.2" customHeight="1" x14ac:dyDescent="0.4">
      <c r="A26" s="698" t="s">
        <v>17</v>
      </c>
      <c r="B26" s="698"/>
      <c r="C26" s="158"/>
      <c r="D26" s="158"/>
      <c r="E26" s="3">
        <f t="shared" ref="E26:J26" si="0">SUM(E2:E25)</f>
        <v>24600</v>
      </c>
      <c r="F26" s="3">
        <f t="shared" si="0"/>
        <v>107447.0177777778</v>
      </c>
      <c r="G26" s="3">
        <f t="shared" si="0"/>
        <v>0</v>
      </c>
      <c r="H26" s="3">
        <f t="shared" si="0"/>
        <v>0</v>
      </c>
      <c r="I26" s="3">
        <f t="shared" si="0"/>
        <v>120000</v>
      </c>
      <c r="J26" s="3">
        <f t="shared" si="0"/>
        <v>198000</v>
      </c>
      <c r="K26" s="17"/>
      <c r="L26" s="2"/>
    </row>
    <row r="27" spans="1:14" ht="25.2" customHeight="1" x14ac:dyDescent="0.4">
      <c r="A27" s="698" t="s">
        <v>18</v>
      </c>
      <c r="B27" s="698"/>
      <c r="C27" s="158"/>
      <c r="D27" s="158"/>
      <c r="E27" s="699">
        <f>SUM(E26:J26)</f>
        <v>450047.0177777778</v>
      </c>
      <c r="F27" s="699"/>
      <c r="G27" s="699"/>
      <c r="H27" s="699"/>
      <c r="I27" s="699"/>
      <c r="J27" s="699"/>
      <c r="K27" s="17"/>
      <c r="L27" s="2" t="s">
        <v>19</v>
      </c>
    </row>
    <row r="29" spans="1:14" ht="25.2" customHeight="1" x14ac:dyDescent="0.4">
      <c r="A29" s="6" t="s">
        <v>0</v>
      </c>
      <c r="B29" s="6" t="s">
        <v>1</v>
      </c>
      <c r="C29" s="6"/>
      <c r="D29" s="6"/>
      <c r="E29" s="6" t="s">
        <v>2</v>
      </c>
      <c r="F29" s="6" t="s">
        <v>3</v>
      </c>
      <c r="G29" s="6" t="s">
        <v>4</v>
      </c>
      <c r="H29" s="6" t="s">
        <v>5</v>
      </c>
      <c r="I29" s="6" t="s">
        <v>6</v>
      </c>
      <c r="J29" s="6" t="s">
        <v>7</v>
      </c>
      <c r="K29" s="6"/>
      <c r="L29" s="6" t="s">
        <v>8</v>
      </c>
      <c r="N29" s="1">
        <v>1398.4</v>
      </c>
    </row>
    <row r="30" spans="1:14" ht="25.2" customHeight="1" x14ac:dyDescent="0.4">
      <c r="A30" s="700">
        <v>43858</v>
      </c>
      <c r="B30" s="700" t="s">
        <v>11</v>
      </c>
      <c r="C30" s="157"/>
      <c r="D30" s="157"/>
      <c r="E30" s="5"/>
      <c r="F30" s="5">
        <f>295*$N$29/9</f>
        <v>45836.444444444445</v>
      </c>
      <c r="G30" s="5"/>
      <c r="H30" s="5"/>
      <c r="I30" s="5"/>
      <c r="J30" s="5"/>
      <c r="K30" s="17"/>
      <c r="L30" s="4" t="s">
        <v>23</v>
      </c>
    </row>
    <row r="31" spans="1:14" ht="25.2" customHeight="1" x14ac:dyDescent="0.4">
      <c r="A31" s="700"/>
      <c r="B31" s="700"/>
      <c r="C31" s="157"/>
      <c r="D31" s="157"/>
      <c r="E31" s="5"/>
      <c r="F31" s="5">
        <f>6*$N$29/9</f>
        <v>932.26666666666688</v>
      </c>
      <c r="G31" s="5"/>
      <c r="H31" s="5"/>
      <c r="I31" s="5"/>
      <c r="J31" s="5"/>
      <c r="K31" s="17"/>
      <c r="L31" s="4" t="s">
        <v>24</v>
      </c>
    </row>
    <row r="32" spans="1:14" ht="25.2" customHeight="1" x14ac:dyDescent="0.4">
      <c r="A32" s="700"/>
      <c r="B32" s="700"/>
      <c r="C32" s="157"/>
      <c r="D32" s="157"/>
      <c r="E32" s="5">
        <v>12100</v>
      </c>
      <c r="F32" s="5"/>
      <c r="G32" s="5"/>
      <c r="H32" s="5"/>
      <c r="I32" s="5"/>
      <c r="J32" s="5"/>
      <c r="K32" s="17"/>
      <c r="L32" s="4" t="s">
        <v>28</v>
      </c>
    </row>
    <row r="33" spans="1:14" ht="25.2" customHeight="1" x14ac:dyDescent="0.4">
      <c r="A33" s="700"/>
      <c r="B33" s="700"/>
      <c r="C33" s="157"/>
      <c r="D33" s="157"/>
      <c r="E33" s="5"/>
      <c r="F33" s="5"/>
      <c r="G33" s="5"/>
      <c r="H33" s="5"/>
      <c r="I33" s="5">
        <v>10000</v>
      </c>
      <c r="J33" s="5">
        <v>18000</v>
      </c>
      <c r="K33" s="17"/>
      <c r="L33" s="4"/>
    </row>
    <row r="34" spans="1:14" ht="25.2" customHeight="1" x14ac:dyDescent="0.4">
      <c r="A34" s="700">
        <v>43859</v>
      </c>
      <c r="B34" s="700" t="s">
        <v>12</v>
      </c>
      <c r="C34" s="157"/>
      <c r="D34" s="157"/>
      <c r="E34" s="5"/>
      <c r="F34" s="5">
        <f>12*$N$29/9</f>
        <v>1864.5333333333338</v>
      </c>
      <c r="G34" s="5"/>
      <c r="H34" s="5"/>
      <c r="I34" s="5"/>
      <c r="J34" s="5"/>
      <c r="K34" s="17"/>
      <c r="L34" s="4" t="s">
        <v>22</v>
      </c>
    </row>
    <row r="35" spans="1:14" ht="25.2" customHeight="1" x14ac:dyDescent="0.4">
      <c r="A35" s="700"/>
      <c r="B35" s="700"/>
      <c r="C35" s="157"/>
      <c r="D35" s="157"/>
      <c r="E35" s="5"/>
      <c r="F35" s="5"/>
      <c r="G35" s="5"/>
      <c r="H35" s="5"/>
      <c r="I35" s="5">
        <v>10000</v>
      </c>
      <c r="J35" s="5">
        <v>18000</v>
      </c>
      <c r="K35" s="17"/>
      <c r="L35" s="4"/>
    </row>
    <row r="36" spans="1:14" ht="25.2" customHeight="1" x14ac:dyDescent="0.4">
      <c r="A36" s="700">
        <v>43860</v>
      </c>
      <c r="B36" s="700" t="s">
        <v>13</v>
      </c>
      <c r="C36" s="157"/>
      <c r="D36" s="157"/>
      <c r="E36" s="5"/>
      <c r="F36" s="5">
        <f>12*$N$29/9</f>
        <v>1864.5333333333338</v>
      </c>
      <c r="G36" s="5"/>
      <c r="H36" s="5"/>
      <c r="I36" s="5"/>
      <c r="J36" s="5"/>
      <c r="K36" s="17"/>
      <c r="L36" s="4" t="s">
        <v>22</v>
      </c>
    </row>
    <row r="37" spans="1:14" ht="25.2" customHeight="1" x14ac:dyDescent="0.4">
      <c r="A37" s="700"/>
      <c r="B37" s="700"/>
      <c r="C37" s="157"/>
      <c r="D37" s="157"/>
      <c r="E37" s="5"/>
      <c r="F37" s="5"/>
      <c r="G37" s="5"/>
      <c r="H37" s="5"/>
      <c r="I37" s="5">
        <v>10000</v>
      </c>
      <c r="J37" s="5">
        <v>18000</v>
      </c>
      <c r="K37" s="17"/>
      <c r="L37" s="4"/>
    </row>
    <row r="38" spans="1:14" ht="25.2" customHeight="1" x14ac:dyDescent="0.4">
      <c r="A38" s="700">
        <v>43861</v>
      </c>
      <c r="B38" s="700" t="s">
        <v>25</v>
      </c>
      <c r="C38" s="157"/>
      <c r="D38" s="157"/>
      <c r="E38" s="5"/>
      <c r="F38" s="5">
        <f>6*$N$29/9</f>
        <v>932.26666666666688</v>
      </c>
      <c r="G38" s="5"/>
      <c r="H38" s="5"/>
      <c r="I38" s="5"/>
      <c r="J38" s="5"/>
      <c r="K38" s="17"/>
      <c r="L38" s="4" t="s">
        <v>24</v>
      </c>
    </row>
    <row r="39" spans="1:14" ht="25.2" customHeight="1" x14ac:dyDescent="0.4">
      <c r="A39" s="700"/>
      <c r="B39" s="700"/>
      <c r="C39" s="157"/>
      <c r="D39" s="157"/>
      <c r="E39" s="5"/>
      <c r="F39" s="5">
        <f>295*$N$29/9</f>
        <v>45836.444444444445</v>
      </c>
      <c r="G39" s="5"/>
      <c r="H39" s="5"/>
      <c r="I39" s="5"/>
      <c r="J39" s="5"/>
      <c r="K39" s="17"/>
      <c r="L39" s="4" t="s">
        <v>23</v>
      </c>
    </row>
    <row r="40" spans="1:14" ht="25.2" customHeight="1" x14ac:dyDescent="0.4">
      <c r="A40" s="700"/>
      <c r="B40" s="700"/>
      <c r="C40" s="157"/>
      <c r="D40" s="157"/>
      <c r="E40" s="5">
        <v>12000</v>
      </c>
      <c r="F40" s="5"/>
      <c r="G40" s="5"/>
      <c r="H40" s="5"/>
      <c r="I40" s="5"/>
      <c r="J40" s="5"/>
      <c r="K40" s="17"/>
      <c r="L40" s="4" t="s">
        <v>27</v>
      </c>
    </row>
    <row r="41" spans="1:14" ht="25.2" customHeight="1" x14ac:dyDescent="0.4">
      <c r="A41" s="700"/>
      <c r="B41" s="700"/>
      <c r="C41" s="157"/>
      <c r="D41" s="157"/>
      <c r="E41" s="5"/>
      <c r="F41" s="5"/>
      <c r="G41" s="5"/>
      <c r="H41" s="5"/>
      <c r="I41" s="5">
        <v>10000</v>
      </c>
      <c r="J41" s="5">
        <v>18000</v>
      </c>
      <c r="K41" s="17"/>
      <c r="L41" s="4"/>
    </row>
    <row r="42" spans="1:14" ht="25.2" customHeight="1" x14ac:dyDescent="0.4">
      <c r="A42" s="698" t="s">
        <v>17</v>
      </c>
      <c r="B42" s="698"/>
      <c r="C42" s="158"/>
      <c r="D42" s="158"/>
      <c r="E42" s="5">
        <f t="shared" ref="E42:J42" si="1">SUM(E30:E41)</f>
        <v>24100</v>
      </c>
      <c r="F42" s="5">
        <f t="shared" si="1"/>
        <v>97266.488888888896</v>
      </c>
      <c r="G42" s="5">
        <f t="shared" si="1"/>
        <v>0</v>
      </c>
      <c r="H42" s="5">
        <f t="shared" si="1"/>
        <v>0</v>
      </c>
      <c r="I42" s="5">
        <f t="shared" si="1"/>
        <v>40000</v>
      </c>
      <c r="J42" s="5">
        <f t="shared" si="1"/>
        <v>72000</v>
      </c>
      <c r="K42" s="17"/>
      <c r="L42" s="4"/>
    </row>
    <row r="43" spans="1:14" ht="25.2" customHeight="1" x14ac:dyDescent="0.4">
      <c r="A43" s="698" t="s">
        <v>18</v>
      </c>
      <c r="B43" s="698"/>
      <c r="C43" s="158"/>
      <c r="D43" s="158"/>
      <c r="E43" s="699">
        <f>SUM(E42:J42)</f>
        <v>233366.48888888891</v>
      </c>
      <c r="F43" s="699"/>
      <c r="G43" s="699"/>
      <c r="H43" s="699"/>
      <c r="I43" s="699"/>
      <c r="J43" s="699"/>
      <c r="K43" s="17"/>
      <c r="L43" s="4" t="s">
        <v>26</v>
      </c>
    </row>
    <row r="45" spans="1:14" ht="25.2" customHeight="1" x14ac:dyDescent="0.4">
      <c r="A45" s="6" t="s">
        <v>0</v>
      </c>
      <c r="B45" s="6" t="s">
        <v>1</v>
      </c>
      <c r="C45" s="6"/>
      <c r="D45" s="6"/>
      <c r="E45" s="6" t="s">
        <v>2</v>
      </c>
      <c r="F45" s="6" t="s">
        <v>3</v>
      </c>
      <c r="G45" s="6" t="s">
        <v>4</v>
      </c>
      <c r="H45" s="6" t="s">
        <v>5</v>
      </c>
      <c r="I45" s="6" t="s">
        <v>6</v>
      </c>
      <c r="J45" s="6" t="s">
        <v>7</v>
      </c>
      <c r="K45" s="6"/>
      <c r="L45" s="6" t="s">
        <v>8</v>
      </c>
      <c r="N45" s="1">
        <v>1398.4</v>
      </c>
    </row>
    <row r="46" spans="1:14" ht="25.2" customHeight="1" x14ac:dyDescent="0.4">
      <c r="A46" s="700">
        <v>43865</v>
      </c>
      <c r="B46" s="700" t="s">
        <v>11</v>
      </c>
      <c r="C46" s="157"/>
      <c r="D46" s="157"/>
      <c r="E46" s="8"/>
      <c r="F46" s="8">
        <f>295*$N$45/9</f>
        <v>45836.444444444445</v>
      </c>
      <c r="G46" s="8"/>
      <c r="H46" s="8"/>
      <c r="I46" s="8"/>
      <c r="J46" s="8"/>
      <c r="K46" s="17"/>
      <c r="L46" s="7" t="s">
        <v>23</v>
      </c>
    </row>
    <row r="47" spans="1:14" ht="25.2" customHeight="1" x14ac:dyDescent="0.4">
      <c r="A47" s="700"/>
      <c r="B47" s="700"/>
      <c r="C47" s="157"/>
      <c r="D47" s="157"/>
      <c r="E47" s="8">
        <v>12100</v>
      </c>
      <c r="F47" s="8"/>
      <c r="G47" s="8"/>
      <c r="H47" s="8"/>
      <c r="I47" s="8"/>
      <c r="J47" s="8"/>
      <c r="K47" s="17"/>
      <c r="L47" s="7" t="s">
        <v>28</v>
      </c>
    </row>
    <row r="48" spans="1:14" ht="25.2" customHeight="1" x14ac:dyDescent="0.4">
      <c r="A48" s="700"/>
      <c r="B48" s="700"/>
      <c r="C48" s="157"/>
      <c r="D48" s="157"/>
      <c r="E48" s="8"/>
      <c r="F48" s="8"/>
      <c r="G48" s="8"/>
      <c r="H48" s="8"/>
      <c r="I48" s="8">
        <v>10000</v>
      </c>
      <c r="J48" s="8">
        <v>18000</v>
      </c>
      <c r="K48" s="17"/>
      <c r="L48" s="7"/>
    </row>
    <row r="49" spans="1:12" ht="25.2" customHeight="1" x14ac:dyDescent="0.4">
      <c r="A49" s="700">
        <v>43866</v>
      </c>
      <c r="B49" s="700" t="s">
        <v>12</v>
      </c>
      <c r="C49" s="157"/>
      <c r="D49" s="157"/>
      <c r="E49" s="8"/>
      <c r="F49" s="8">
        <f>12*$N$45/9</f>
        <v>1864.5333333333338</v>
      </c>
      <c r="G49" s="8"/>
      <c r="H49" s="8"/>
      <c r="I49" s="8"/>
      <c r="J49" s="8"/>
      <c r="K49" s="17"/>
      <c r="L49" s="7" t="s">
        <v>22</v>
      </c>
    </row>
    <row r="50" spans="1:12" ht="25.2" customHeight="1" x14ac:dyDescent="0.4">
      <c r="A50" s="700"/>
      <c r="B50" s="700"/>
      <c r="C50" s="157"/>
      <c r="D50" s="157"/>
      <c r="E50" s="8"/>
      <c r="F50" s="8"/>
      <c r="G50" s="8"/>
      <c r="H50" s="8"/>
      <c r="I50" s="8">
        <v>10000</v>
      </c>
      <c r="J50" s="8">
        <v>18000</v>
      </c>
      <c r="K50" s="17"/>
      <c r="L50" s="7"/>
    </row>
    <row r="51" spans="1:12" ht="25.2" customHeight="1" x14ac:dyDescent="0.4">
      <c r="A51" s="700">
        <v>43867</v>
      </c>
      <c r="B51" s="700" t="s">
        <v>13</v>
      </c>
      <c r="C51" s="157"/>
      <c r="D51" s="157"/>
      <c r="E51" s="8"/>
      <c r="F51" s="8">
        <f>12*$N$45/9</f>
        <v>1864.5333333333338</v>
      </c>
      <c r="G51" s="8"/>
      <c r="H51" s="8"/>
      <c r="I51" s="8"/>
      <c r="J51" s="8"/>
      <c r="K51" s="17"/>
      <c r="L51" s="7" t="s">
        <v>22</v>
      </c>
    </row>
    <row r="52" spans="1:12" ht="25.2" customHeight="1" x14ac:dyDescent="0.4">
      <c r="A52" s="700"/>
      <c r="B52" s="700"/>
      <c r="C52" s="157"/>
      <c r="D52" s="157"/>
      <c r="E52" s="8"/>
      <c r="F52" s="8"/>
      <c r="G52" s="8"/>
      <c r="H52" s="8"/>
      <c r="I52" s="8">
        <v>10000</v>
      </c>
      <c r="J52" s="8">
        <v>18000</v>
      </c>
      <c r="K52" s="17"/>
      <c r="L52" s="7"/>
    </row>
    <row r="53" spans="1:12" ht="25.2" customHeight="1" x14ac:dyDescent="0.4">
      <c r="A53" s="700">
        <v>43868</v>
      </c>
      <c r="B53" s="700" t="s">
        <v>25</v>
      </c>
      <c r="C53" s="157"/>
      <c r="D53" s="157"/>
      <c r="E53" s="8"/>
      <c r="F53" s="8">
        <f>12*$N$45/9</f>
        <v>1864.5333333333338</v>
      </c>
      <c r="G53" s="8"/>
      <c r="H53" s="8"/>
      <c r="I53" s="8"/>
      <c r="J53" s="8"/>
      <c r="K53" s="17"/>
      <c r="L53" s="7" t="s">
        <v>22</v>
      </c>
    </row>
    <row r="54" spans="1:12" ht="25.2" customHeight="1" x14ac:dyDescent="0.4">
      <c r="A54" s="700"/>
      <c r="B54" s="700"/>
      <c r="C54" s="157"/>
      <c r="D54" s="157"/>
      <c r="E54" s="8"/>
      <c r="F54" s="8"/>
      <c r="G54" s="8"/>
      <c r="H54" s="8"/>
      <c r="I54" s="8">
        <v>10000</v>
      </c>
      <c r="J54" s="8">
        <v>18000</v>
      </c>
      <c r="K54" s="17"/>
      <c r="L54" s="7"/>
    </row>
    <row r="55" spans="1:12" ht="25.2" customHeight="1" x14ac:dyDescent="0.4">
      <c r="A55" s="700">
        <v>43869</v>
      </c>
      <c r="B55" s="700" t="s">
        <v>29</v>
      </c>
      <c r="C55" s="157"/>
      <c r="D55" s="157"/>
      <c r="E55" s="8"/>
      <c r="F55" s="8">
        <f>12*$N$45/9</f>
        <v>1864.5333333333338</v>
      </c>
      <c r="G55" s="8"/>
      <c r="H55" s="8"/>
      <c r="I55" s="8"/>
      <c r="J55" s="8"/>
      <c r="K55" s="17"/>
      <c r="L55" s="7" t="s">
        <v>22</v>
      </c>
    </row>
    <row r="56" spans="1:12" ht="25.2" customHeight="1" x14ac:dyDescent="0.4">
      <c r="A56" s="700"/>
      <c r="B56" s="700"/>
      <c r="C56" s="157"/>
      <c r="D56" s="157"/>
      <c r="E56" s="8"/>
      <c r="F56" s="8"/>
      <c r="G56" s="8"/>
      <c r="H56" s="8"/>
      <c r="I56" s="8">
        <v>10000</v>
      </c>
      <c r="J56" s="8">
        <v>18000</v>
      </c>
      <c r="K56" s="17"/>
      <c r="L56" s="7"/>
    </row>
    <row r="57" spans="1:12" ht="25.2" customHeight="1" x14ac:dyDescent="0.4">
      <c r="A57" s="700">
        <v>43870</v>
      </c>
      <c r="B57" s="700" t="s">
        <v>30</v>
      </c>
      <c r="C57" s="157"/>
      <c r="D57" s="157"/>
      <c r="E57" s="8"/>
      <c r="F57" s="8">
        <f>12*$N$45/9</f>
        <v>1864.5333333333338</v>
      </c>
      <c r="G57" s="8"/>
      <c r="H57" s="8"/>
      <c r="I57" s="8"/>
      <c r="J57" s="8"/>
      <c r="K57" s="17"/>
      <c r="L57" s="7" t="s">
        <v>22</v>
      </c>
    </row>
    <row r="58" spans="1:12" ht="25.2" customHeight="1" x14ac:dyDescent="0.4">
      <c r="A58" s="700"/>
      <c r="B58" s="700"/>
      <c r="C58" s="157"/>
      <c r="D58" s="157"/>
      <c r="E58" s="8"/>
      <c r="F58" s="8"/>
      <c r="G58" s="8"/>
      <c r="H58" s="8"/>
      <c r="I58" s="8">
        <v>20000</v>
      </c>
      <c r="J58" s="8">
        <v>18000</v>
      </c>
      <c r="K58" s="17"/>
      <c r="L58" s="7"/>
    </row>
    <row r="59" spans="1:12" ht="25.2" customHeight="1" x14ac:dyDescent="0.4">
      <c r="A59" s="700">
        <v>43871</v>
      </c>
      <c r="B59" s="700" t="s">
        <v>31</v>
      </c>
      <c r="C59" s="157"/>
      <c r="D59" s="157"/>
      <c r="E59" s="8"/>
      <c r="F59" s="8">
        <f>12*$N$45/9</f>
        <v>1864.5333333333338</v>
      </c>
      <c r="G59" s="8"/>
      <c r="H59" s="8"/>
      <c r="I59" s="8"/>
      <c r="J59" s="8"/>
      <c r="K59" s="17"/>
      <c r="L59" s="7" t="s">
        <v>22</v>
      </c>
    </row>
    <row r="60" spans="1:12" ht="25.2" customHeight="1" x14ac:dyDescent="0.4">
      <c r="A60" s="700"/>
      <c r="B60" s="700"/>
      <c r="C60" s="157"/>
      <c r="D60" s="157"/>
      <c r="E60" s="8"/>
      <c r="F60" s="8"/>
      <c r="G60" s="8"/>
      <c r="H60" s="8"/>
      <c r="I60" s="8">
        <v>10000</v>
      </c>
      <c r="J60" s="8">
        <v>18000</v>
      </c>
      <c r="K60" s="17"/>
      <c r="L60" s="7"/>
    </row>
    <row r="61" spans="1:12" ht="25.2" customHeight="1" x14ac:dyDescent="0.4">
      <c r="A61" s="700">
        <v>43872</v>
      </c>
      <c r="B61" s="700" t="s">
        <v>32</v>
      </c>
      <c r="C61" s="157"/>
      <c r="D61" s="157"/>
      <c r="E61" s="8"/>
      <c r="F61" s="8">
        <f>12*$N$45/9</f>
        <v>1864.5333333333338</v>
      </c>
      <c r="G61" s="8"/>
      <c r="H61" s="8"/>
      <c r="I61" s="8"/>
      <c r="J61" s="8"/>
      <c r="K61" s="17"/>
      <c r="L61" s="7" t="s">
        <v>22</v>
      </c>
    </row>
    <row r="62" spans="1:12" ht="25.2" customHeight="1" x14ac:dyDescent="0.4">
      <c r="A62" s="700"/>
      <c r="B62" s="700"/>
      <c r="C62" s="157"/>
      <c r="D62" s="157"/>
      <c r="E62" s="8"/>
      <c r="F62" s="8"/>
      <c r="G62" s="8"/>
      <c r="H62" s="8"/>
      <c r="I62" s="8">
        <v>10000</v>
      </c>
      <c r="J62" s="8">
        <v>18000</v>
      </c>
      <c r="K62" s="17"/>
      <c r="L62" s="7"/>
    </row>
    <row r="63" spans="1:12" ht="25.2" customHeight="1" x14ac:dyDescent="0.4">
      <c r="A63" s="700">
        <v>43873</v>
      </c>
      <c r="B63" s="700" t="s">
        <v>33</v>
      </c>
      <c r="C63" s="157"/>
      <c r="D63" s="157"/>
      <c r="E63" s="8"/>
      <c r="F63" s="8">
        <f>295*$N$45/9</f>
        <v>45836.444444444445</v>
      </c>
      <c r="G63" s="8"/>
      <c r="H63" s="8"/>
      <c r="I63" s="8"/>
      <c r="J63" s="8"/>
      <c r="K63" s="17"/>
      <c r="L63" s="7" t="s">
        <v>23</v>
      </c>
    </row>
    <row r="64" spans="1:12" ht="25.2" customHeight="1" x14ac:dyDescent="0.4">
      <c r="A64" s="700"/>
      <c r="B64" s="700"/>
      <c r="C64" s="157"/>
      <c r="D64" s="157"/>
      <c r="E64" s="8">
        <v>9800</v>
      </c>
      <c r="F64" s="8"/>
      <c r="G64" s="8"/>
      <c r="H64" s="8"/>
      <c r="I64" s="8"/>
      <c r="J64" s="8"/>
      <c r="K64" s="17"/>
      <c r="L64" s="7" t="s">
        <v>34</v>
      </c>
    </row>
    <row r="65" spans="1:14" ht="25.2" customHeight="1" x14ac:dyDescent="0.4">
      <c r="A65" s="700"/>
      <c r="B65" s="700"/>
      <c r="C65" s="157"/>
      <c r="D65" s="157"/>
      <c r="E65" s="8">
        <v>2400</v>
      </c>
      <c r="F65" s="8"/>
      <c r="G65" s="8"/>
      <c r="H65" s="8"/>
      <c r="I65" s="8"/>
      <c r="J65" s="8"/>
      <c r="K65" s="17"/>
      <c r="L65" s="7" t="s">
        <v>35</v>
      </c>
    </row>
    <row r="66" spans="1:14" ht="25.2" customHeight="1" x14ac:dyDescent="0.4">
      <c r="A66" s="700"/>
      <c r="B66" s="700"/>
      <c r="C66" s="157"/>
      <c r="D66" s="157"/>
      <c r="E66" s="8"/>
      <c r="F66" s="8"/>
      <c r="G66" s="8"/>
      <c r="H66" s="8"/>
      <c r="I66" s="8">
        <v>10000</v>
      </c>
      <c r="J66" s="8">
        <v>18000</v>
      </c>
      <c r="K66" s="17"/>
      <c r="L66" s="7"/>
    </row>
    <row r="67" spans="1:14" ht="25.2" customHeight="1" x14ac:dyDescent="0.4">
      <c r="A67" s="698" t="s">
        <v>17</v>
      </c>
      <c r="B67" s="698"/>
      <c r="C67" s="158"/>
      <c r="D67" s="158"/>
      <c r="E67" s="8">
        <f t="shared" ref="E67:J67" si="2">SUM(E46:E66)</f>
        <v>24300</v>
      </c>
      <c r="F67" s="8">
        <f t="shared" si="2"/>
        <v>104724.62222222221</v>
      </c>
      <c r="G67" s="8">
        <f t="shared" si="2"/>
        <v>0</v>
      </c>
      <c r="H67" s="8">
        <f t="shared" si="2"/>
        <v>0</v>
      </c>
      <c r="I67" s="8">
        <f t="shared" si="2"/>
        <v>100000</v>
      </c>
      <c r="J67" s="8">
        <f t="shared" si="2"/>
        <v>162000</v>
      </c>
      <c r="K67" s="17"/>
      <c r="L67" s="7"/>
    </row>
    <row r="68" spans="1:14" ht="25.2" customHeight="1" x14ac:dyDescent="0.4">
      <c r="A68" s="698" t="s">
        <v>18</v>
      </c>
      <c r="B68" s="698"/>
      <c r="C68" s="158"/>
      <c r="D68" s="158"/>
      <c r="E68" s="699">
        <f>SUM(E67:J67)</f>
        <v>391024.62222222221</v>
      </c>
      <c r="F68" s="699"/>
      <c r="G68" s="699"/>
      <c r="H68" s="699"/>
      <c r="I68" s="699"/>
      <c r="J68" s="699"/>
      <c r="K68" s="17"/>
      <c r="L68" s="7" t="s">
        <v>26</v>
      </c>
    </row>
    <row r="70" spans="1:14" ht="25.2" customHeight="1" x14ac:dyDescent="0.4">
      <c r="A70" s="6" t="s">
        <v>0</v>
      </c>
      <c r="B70" s="6" t="s">
        <v>1</v>
      </c>
      <c r="C70" s="6"/>
      <c r="D70" s="6"/>
      <c r="E70" s="6" t="s">
        <v>2</v>
      </c>
      <c r="F70" s="6" t="s">
        <v>3</v>
      </c>
      <c r="G70" s="6" t="s">
        <v>4</v>
      </c>
      <c r="H70" s="6" t="s">
        <v>5</v>
      </c>
      <c r="I70" s="6" t="s">
        <v>6</v>
      </c>
      <c r="J70" s="6" t="s">
        <v>7</v>
      </c>
      <c r="K70" s="6"/>
      <c r="L70" s="6" t="s">
        <v>8</v>
      </c>
      <c r="N70" s="1">
        <v>1398.4</v>
      </c>
    </row>
    <row r="71" spans="1:14" ht="25.2" customHeight="1" x14ac:dyDescent="0.4">
      <c r="A71" s="700">
        <v>43879</v>
      </c>
      <c r="B71" s="700" t="s">
        <v>11</v>
      </c>
      <c r="C71" s="157"/>
      <c r="D71" s="157"/>
      <c r="E71" s="10"/>
      <c r="F71" s="10">
        <f>295*N70/9</f>
        <v>45836.444444444445</v>
      </c>
      <c r="G71" s="10"/>
      <c r="H71" s="10"/>
      <c r="I71" s="10"/>
      <c r="J71" s="10"/>
      <c r="K71" s="17"/>
      <c r="L71" s="9" t="s">
        <v>23</v>
      </c>
    </row>
    <row r="72" spans="1:14" ht="25.2" customHeight="1" x14ac:dyDescent="0.4">
      <c r="A72" s="700"/>
      <c r="B72" s="700"/>
      <c r="C72" s="157"/>
      <c r="D72" s="157"/>
      <c r="E72" s="10">
        <v>12100</v>
      </c>
      <c r="F72" s="10"/>
      <c r="G72" s="10"/>
      <c r="H72" s="10"/>
      <c r="I72" s="10"/>
      <c r="J72" s="10"/>
      <c r="K72" s="17"/>
      <c r="L72" s="9" t="s">
        <v>28</v>
      </c>
    </row>
    <row r="73" spans="1:14" ht="25.2" customHeight="1" x14ac:dyDescent="0.4">
      <c r="A73" s="700"/>
      <c r="B73" s="700"/>
      <c r="C73" s="157"/>
      <c r="D73" s="157"/>
      <c r="E73" s="10"/>
      <c r="F73" s="10"/>
      <c r="G73" s="10"/>
      <c r="H73" s="10"/>
      <c r="I73" s="10">
        <v>10000</v>
      </c>
      <c r="J73" s="10">
        <v>18000</v>
      </c>
      <c r="K73" s="17"/>
      <c r="L73" s="9"/>
    </row>
    <row r="74" spans="1:14" ht="25.2" customHeight="1" x14ac:dyDescent="0.4">
      <c r="A74" s="700">
        <v>43880</v>
      </c>
      <c r="B74" s="700" t="s">
        <v>33</v>
      </c>
      <c r="C74" s="157"/>
      <c r="D74" s="157"/>
      <c r="E74" s="10"/>
      <c r="F74" s="10">
        <f>295*N70/9</f>
        <v>45836.444444444445</v>
      </c>
      <c r="G74" s="10"/>
      <c r="H74" s="10"/>
      <c r="I74" s="10"/>
      <c r="J74" s="10"/>
      <c r="K74" s="17"/>
      <c r="L74" s="9" t="s">
        <v>23</v>
      </c>
    </row>
    <row r="75" spans="1:14" ht="25.2" customHeight="1" x14ac:dyDescent="0.4">
      <c r="A75" s="700"/>
      <c r="B75" s="700"/>
      <c r="C75" s="157"/>
      <c r="D75" s="157"/>
      <c r="E75" s="10">
        <v>12100</v>
      </c>
      <c r="F75" s="10"/>
      <c r="G75" s="10"/>
      <c r="H75" s="10"/>
      <c r="I75" s="10"/>
      <c r="J75" s="10"/>
      <c r="K75" s="17"/>
      <c r="L75" s="9" t="s">
        <v>36</v>
      </c>
    </row>
    <row r="76" spans="1:14" ht="25.2" customHeight="1" x14ac:dyDescent="0.4">
      <c r="A76" s="700"/>
      <c r="B76" s="700"/>
      <c r="C76" s="157"/>
      <c r="D76" s="157"/>
      <c r="E76" s="10"/>
      <c r="F76" s="10"/>
      <c r="G76" s="10"/>
      <c r="H76" s="10"/>
      <c r="I76" s="10">
        <v>10000</v>
      </c>
      <c r="J76" s="10">
        <v>18000</v>
      </c>
      <c r="K76" s="17"/>
      <c r="L76" s="9"/>
    </row>
    <row r="77" spans="1:14" ht="25.2" customHeight="1" x14ac:dyDescent="0.4">
      <c r="A77" s="698" t="s">
        <v>17</v>
      </c>
      <c r="B77" s="698"/>
      <c r="C77" s="158"/>
      <c r="D77" s="158"/>
      <c r="E77" s="10">
        <f t="shared" ref="E77:J77" si="3">SUM(E71:E76)</f>
        <v>24200</v>
      </c>
      <c r="F77" s="10">
        <f t="shared" si="3"/>
        <v>91672.888888888891</v>
      </c>
      <c r="G77" s="10">
        <f t="shared" si="3"/>
        <v>0</v>
      </c>
      <c r="H77" s="10">
        <f t="shared" si="3"/>
        <v>0</v>
      </c>
      <c r="I77" s="10">
        <f t="shared" si="3"/>
        <v>20000</v>
      </c>
      <c r="J77" s="10">
        <f t="shared" si="3"/>
        <v>36000</v>
      </c>
      <c r="K77" s="17"/>
      <c r="L77" s="9"/>
    </row>
    <row r="78" spans="1:14" ht="25.2" customHeight="1" x14ac:dyDescent="0.4">
      <c r="A78" s="698" t="s">
        <v>18</v>
      </c>
      <c r="B78" s="698"/>
      <c r="C78" s="158"/>
      <c r="D78" s="158"/>
      <c r="E78" s="699">
        <f>SUM(E77:J77)</f>
        <v>171872.88888888888</v>
      </c>
      <c r="F78" s="699"/>
      <c r="G78" s="699"/>
      <c r="H78" s="699"/>
      <c r="I78" s="699"/>
      <c r="J78" s="699"/>
      <c r="K78" s="17"/>
      <c r="L78" s="9" t="s">
        <v>26</v>
      </c>
    </row>
    <row r="80" spans="1:14" ht="25.2" customHeight="1" x14ac:dyDescent="0.4">
      <c r="A80" s="6" t="s">
        <v>0</v>
      </c>
      <c r="B80" s="6" t="s">
        <v>1</v>
      </c>
      <c r="C80" s="6"/>
      <c r="D80" s="6"/>
      <c r="E80" s="6" t="s">
        <v>2</v>
      </c>
      <c r="F80" s="6" t="s">
        <v>3</v>
      </c>
      <c r="G80" s="6" t="s">
        <v>4</v>
      </c>
      <c r="H80" s="6" t="s">
        <v>5</v>
      </c>
      <c r="I80" s="6" t="s">
        <v>6</v>
      </c>
      <c r="J80" s="6" t="s">
        <v>7</v>
      </c>
      <c r="K80" s="6"/>
      <c r="L80" s="6" t="s">
        <v>8</v>
      </c>
      <c r="N80" s="1">
        <v>1398.4</v>
      </c>
    </row>
    <row r="81" spans="1:14" ht="25.2" customHeight="1" x14ac:dyDescent="0.4">
      <c r="A81" s="11">
        <v>43882</v>
      </c>
      <c r="B81" s="11" t="s">
        <v>11</v>
      </c>
      <c r="C81" s="157"/>
      <c r="D81" s="157"/>
      <c r="E81" s="13"/>
      <c r="F81" s="13"/>
      <c r="G81" s="13"/>
      <c r="H81" s="13"/>
      <c r="I81" s="13">
        <v>10000</v>
      </c>
      <c r="J81" s="13">
        <v>18000</v>
      </c>
      <c r="K81" s="17"/>
      <c r="L81" s="12"/>
    </row>
    <row r="82" spans="1:14" ht="25.2" customHeight="1" x14ac:dyDescent="0.4">
      <c r="A82" s="11">
        <v>43883</v>
      </c>
      <c r="B82" s="11" t="s">
        <v>33</v>
      </c>
      <c r="C82" s="157"/>
      <c r="D82" s="157"/>
      <c r="E82" s="13"/>
      <c r="F82" s="13"/>
      <c r="G82" s="13"/>
      <c r="H82" s="13"/>
      <c r="I82" s="13">
        <v>10000</v>
      </c>
      <c r="J82" s="13">
        <v>18000</v>
      </c>
      <c r="K82" s="17"/>
      <c r="L82" s="12"/>
    </row>
    <row r="83" spans="1:14" ht="25.2" customHeight="1" x14ac:dyDescent="0.4">
      <c r="A83" s="698" t="s">
        <v>17</v>
      </c>
      <c r="B83" s="698"/>
      <c r="C83" s="158"/>
      <c r="D83" s="158"/>
      <c r="E83" s="13">
        <f t="shared" ref="E83:J83" si="4">SUM(E81:E82)</f>
        <v>0</v>
      </c>
      <c r="F83" s="13">
        <f t="shared" si="4"/>
        <v>0</v>
      </c>
      <c r="G83" s="13">
        <f t="shared" si="4"/>
        <v>0</v>
      </c>
      <c r="H83" s="13">
        <f t="shared" si="4"/>
        <v>0</v>
      </c>
      <c r="I83" s="13">
        <f t="shared" si="4"/>
        <v>20000</v>
      </c>
      <c r="J83" s="13">
        <f t="shared" si="4"/>
        <v>36000</v>
      </c>
      <c r="K83" s="17"/>
      <c r="L83" s="12"/>
    </row>
    <row r="84" spans="1:14" ht="25.2" customHeight="1" x14ac:dyDescent="0.4">
      <c r="A84" s="698" t="s">
        <v>18</v>
      </c>
      <c r="B84" s="698"/>
      <c r="C84" s="158"/>
      <c r="D84" s="158"/>
      <c r="E84" s="699">
        <f>SUM(E83:J83)</f>
        <v>56000</v>
      </c>
      <c r="F84" s="699"/>
      <c r="G84" s="699"/>
      <c r="H84" s="699"/>
      <c r="I84" s="699"/>
      <c r="J84" s="699"/>
      <c r="K84" s="17"/>
      <c r="L84" s="12"/>
    </row>
    <row r="86" spans="1:14" ht="25.2" customHeight="1" x14ac:dyDescent="0.4">
      <c r="A86" s="6" t="s">
        <v>0</v>
      </c>
      <c r="B86" s="6" t="s">
        <v>1</v>
      </c>
      <c r="C86" s="6"/>
      <c r="D86" s="6"/>
      <c r="E86" s="6" t="s">
        <v>2</v>
      </c>
      <c r="F86" s="6" t="s">
        <v>3</v>
      </c>
      <c r="G86" s="6" t="s">
        <v>4</v>
      </c>
      <c r="H86" s="6" t="s">
        <v>5</v>
      </c>
      <c r="I86" s="6" t="s">
        <v>6</v>
      </c>
      <c r="J86" s="6" t="s">
        <v>7</v>
      </c>
      <c r="K86" s="6"/>
      <c r="L86" s="6" t="s">
        <v>8</v>
      </c>
      <c r="N86" s="1">
        <v>1369.85</v>
      </c>
    </row>
    <row r="87" spans="1:14" ht="25.2" customHeight="1" x14ac:dyDescent="0.4">
      <c r="A87" s="16">
        <v>43916</v>
      </c>
      <c r="B87" s="16" t="s">
        <v>37</v>
      </c>
      <c r="C87" s="157"/>
      <c r="D87" s="157"/>
      <c r="E87" s="15">
        <v>2200</v>
      </c>
      <c r="F87" s="15"/>
      <c r="G87" s="15"/>
      <c r="H87" s="15"/>
      <c r="I87" s="15"/>
      <c r="J87" s="15"/>
      <c r="K87" s="17"/>
      <c r="L87" s="14" t="s">
        <v>38</v>
      </c>
      <c r="N87" s="1">
        <v>1369.85</v>
      </c>
    </row>
    <row r="88" spans="1:14" ht="25.2" customHeight="1" x14ac:dyDescent="0.4">
      <c r="A88" s="16">
        <v>43916</v>
      </c>
      <c r="B88" s="16" t="s">
        <v>37</v>
      </c>
      <c r="C88" s="157"/>
      <c r="D88" s="157"/>
      <c r="E88" s="15">
        <v>5200</v>
      </c>
      <c r="F88" s="15"/>
      <c r="G88" s="15"/>
      <c r="H88" s="15"/>
      <c r="I88" s="15"/>
      <c r="J88" s="15"/>
      <c r="K88" s="17"/>
      <c r="L88" s="14" t="s">
        <v>39</v>
      </c>
    </row>
    <row r="89" spans="1:14" ht="25.2" customHeight="1" x14ac:dyDescent="0.4">
      <c r="A89" s="16">
        <v>43916</v>
      </c>
      <c r="B89" s="16" t="s">
        <v>37</v>
      </c>
      <c r="C89" s="157"/>
      <c r="D89" s="157"/>
      <c r="E89" s="15">
        <v>3600</v>
      </c>
      <c r="F89" s="15"/>
      <c r="G89" s="15"/>
      <c r="H89" s="15"/>
      <c r="I89" s="15"/>
      <c r="J89" s="15"/>
      <c r="K89" s="17"/>
      <c r="L89" s="14" t="s">
        <v>40</v>
      </c>
    </row>
    <row r="90" spans="1:14" ht="25.2" customHeight="1" x14ac:dyDescent="0.4">
      <c r="A90" s="16">
        <v>43916</v>
      </c>
      <c r="B90" s="16" t="s">
        <v>37</v>
      </c>
      <c r="C90" s="157"/>
      <c r="D90" s="157"/>
      <c r="E90" s="15"/>
      <c r="F90" s="15">
        <f>N90*N87/9</f>
        <v>37594.772222222215</v>
      </c>
      <c r="G90" s="15"/>
      <c r="H90" s="15"/>
      <c r="I90" s="15"/>
      <c r="J90" s="15"/>
      <c r="K90" s="17"/>
      <c r="L90" s="14" t="s">
        <v>42</v>
      </c>
      <c r="N90" s="1">
        <v>247</v>
      </c>
    </row>
    <row r="91" spans="1:14" ht="25.2" customHeight="1" x14ac:dyDescent="0.4">
      <c r="A91" s="698" t="s">
        <v>17</v>
      </c>
      <c r="B91" s="698"/>
      <c r="C91" s="158"/>
      <c r="D91" s="158"/>
      <c r="E91" s="15">
        <f t="shared" ref="E91:J91" si="5">SUM(E87:E90)</f>
        <v>11000</v>
      </c>
      <c r="F91" s="15">
        <f t="shared" si="5"/>
        <v>37594.772222222215</v>
      </c>
      <c r="G91" s="15">
        <f t="shared" si="5"/>
        <v>0</v>
      </c>
      <c r="H91" s="15">
        <f t="shared" si="5"/>
        <v>0</v>
      </c>
      <c r="I91" s="15">
        <f t="shared" si="5"/>
        <v>0</v>
      </c>
      <c r="J91" s="15">
        <f t="shared" si="5"/>
        <v>0</v>
      </c>
      <c r="K91" s="17"/>
      <c r="L91" s="14"/>
    </row>
    <row r="92" spans="1:14" ht="25.2" customHeight="1" x14ac:dyDescent="0.4">
      <c r="A92" s="698" t="s">
        <v>18</v>
      </c>
      <c r="B92" s="698"/>
      <c r="C92" s="158"/>
      <c r="D92" s="158"/>
      <c r="E92" s="699">
        <f>SUM(E91:J91)</f>
        <v>48594.772222222215</v>
      </c>
      <c r="F92" s="699"/>
      <c r="G92" s="699"/>
      <c r="H92" s="699"/>
      <c r="I92" s="699"/>
      <c r="J92" s="699"/>
      <c r="K92" s="17"/>
      <c r="L92" s="14" t="s">
        <v>41</v>
      </c>
    </row>
    <row r="94" spans="1:14" ht="25.2" customHeight="1" x14ac:dyDescent="0.4">
      <c r="N94" s="1">
        <v>1065.79</v>
      </c>
    </row>
    <row r="95" spans="1:14" ht="25.2" customHeight="1" x14ac:dyDescent="0.4">
      <c r="A95" s="6" t="s">
        <v>0</v>
      </c>
      <c r="B95" s="6" t="s">
        <v>1</v>
      </c>
      <c r="C95" s="6"/>
      <c r="D95" s="6"/>
      <c r="E95" s="6" t="s">
        <v>74</v>
      </c>
      <c r="F95" s="6" t="s">
        <v>3</v>
      </c>
      <c r="G95" s="6" t="s">
        <v>4</v>
      </c>
      <c r="H95" s="6" t="s">
        <v>5</v>
      </c>
      <c r="I95" s="6" t="s">
        <v>4</v>
      </c>
      <c r="J95" s="6" t="s">
        <v>7</v>
      </c>
      <c r="K95" s="6" t="s">
        <v>60</v>
      </c>
      <c r="L95" s="6" t="s">
        <v>8</v>
      </c>
      <c r="N95" s="1">
        <v>1398.4</v>
      </c>
    </row>
    <row r="96" spans="1:14" ht="25.2" customHeight="1" x14ac:dyDescent="0.4">
      <c r="A96" s="20">
        <v>43997</v>
      </c>
      <c r="B96" s="20" t="s">
        <v>10</v>
      </c>
      <c r="C96" s="20"/>
      <c r="D96" s="20"/>
      <c r="E96" s="21">
        <v>46000</v>
      </c>
      <c r="F96" s="21"/>
      <c r="G96" s="21"/>
      <c r="H96" s="21"/>
      <c r="I96" s="21"/>
      <c r="J96" s="21"/>
      <c r="K96" s="21" t="s">
        <v>61</v>
      </c>
      <c r="L96" s="22" t="s">
        <v>58</v>
      </c>
      <c r="N96" s="1">
        <v>1065.79</v>
      </c>
    </row>
    <row r="97" spans="1:14" ht="25.2" customHeight="1" x14ac:dyDescent="0.4">
      <c r="A97" s="23">
        <v>43999</v>
      </c>
      <c r="B97" s="23" t="s">
        <v>33</v>
      </c>
      <c r="C97" s="23"/>
      <c r="D97" s="23"/>
      <c r="E97" s="24">
        <v>2300</v>
      </c>
      <c r="F97" s="24"/>
      <c r="G97" s="24"/>
      <c r="H97" s="24"/>
      <c r="I97" s="24"/>
      <c r="J97" s="24"/>
      <c r="K97" s="24" t="s">
        <v>62</v>
      </c>
      <c r="L97" s="25" t="s">
        <v>46</v>
      </c>
    </row>
    <row r="98" spans="1:14" ht="25.2" customHeight="1" x14ac:dyDescent="0.4">
      <c r="A98" s="23">
        <v>43999</v>
      </c>
      <c r="B98" s="23" t="s">
        <v>33</v>
      </c>
      <c r="C98" s="23"/>
      <c r="D98" s="23"/>
      <c r="E98" s="24"/>
      <c r="F98" s="24">
        <f>N98*N96/9</f>
        <v>4263.16</v>
      </c>
      <c r="G98" s="24"/>
      <c r="H98" s="24"/>
      <c r="I98" s="24"/>
      <c r="J98" s="24"/>
      <c r="K98" s="24" t="s">
        <v>63</v>
      </c>
      <c r="L98" s="25" t="s">
        <v>45</v>
      </c>
      <c r="N98" s="1">
        <v>36</v>
      </c>
    </row>
    <row r="99" spans="1:14" ht="25.2" customHeight="1" x14ac:dyDescent="0.4">
      <c r="A99" s="23">
        <v>43999</v>
      </c>
      <c r="B99" s="23" t="s">
        <v>33</v>
      </c>
      <c r="C99" s="23"/>
      <c r="D99" s="23"/>
      <c r="E99" s="24">
        <v>1250</v>
      </c>
      <c r="F99" s="24"/>
      <c r="G99" s="24"/>
      <c r="H99" s="24"/>
      <c r="I99" s="24"/>
      <c r="J99" s="24"/>
      <c r="K99" s="24" t="s">
        <v>64</v>
      </c>
      <c r="L99" s="25" t="s">
        <v>47</v>
      </c>
    </row>
    <row r="100" spans="1:14" ht="25.2" customHeight="1" x14ac:dyDescent="0.4">
      <c r="A100" s="23">
        <v>43999</v>
      </c>
      <c r="B100" s="23" t="s">
        <v>33</v>
      </c>
      <c r="C100" s="23"/>
      <c r="D100" s="23"/>
      <c r="E100" s="24"/>
      <c r="F100" s="24"/>
      <c r="G100" s="24"/>
      <c r="H100" s="24"/>
      <c r="I100" s="24"/>
      <c r="J100" s="24">
        <v>8600</v>
      </c>
      <c r="K100" s="24" t="s">
        <v>67</v>
      </c>
      <c r="L100" s="25" t="s">
        <v>43</v>
      </c>
    </row>
    <row r="101" spans="1:14" ht="25.2" customHeight="1" x14ac:dyDescent="0.4">
      <c r="A101" s="23">
        <v>43999</v>
      </c>
      <c r="B101" s="23" t="s">
        <v>33</v>
      </c>
      <c r="C101" s="23"/>
      <c r="D101" s="23"/>
      <c r="E101" s="24">
        <v>1250</v>
      </c>
      <c r="F101" s="24"/>
      <c r="G101" s="24"/>
      <c r="H101" s="24"/>
      <c r="I101" s="24"/>
      <c r="J101" s="24"/>
      <c r="K101" s="24" t="s">
        <v>64</v>
      </c>
      <c r="L101" s="25" t="s">
        <v>48</v>
      </c>
    </row>
    <row r="102" spans="1:14" ht="25.2" customHeight="1" x14ac:dyDescent="0.4">
      <c r="A102" s="26">
        <v>43999</v>
      </c>
      <c r="B102" s="26" t="s">
        <v>33</v>
      </c>
      <c r="C102" s="26"/>
      <c r="D102" s="26"/>
      <c r="E102" s="27"/>
      <c r="F102" s="27"/>
      <c r="G102" s="27"/>
      <c r="H102" s="27"/>
      <c r="I102" s="27">
        <v>60000</v>
      </c>
      <c r="J102" s="27"/>
      <c r="K102" s="27" t="s">
        <v>65</v>
      </c>
      <c r="L102" s="28" t="s">
        <v>44</v>
      </c>
    </row>
    <row r="103" spans="1:14" ht="25.2" customHeight="1" x14ac:dyDescent="0.4">
      <c r="A103" s="20">
        <v>44000</v>
      </c>
      <c r="B103" s="20" t="s">
        <v>50</v>
      </c>
      <c r="C103" s="20"/>
      <c r="D103" s="20"/>
      <c r="E103" s="21">
        <v>1250</v>
      </c>
      <c r="F103" s="21"/>
      <c r="G103" s="21"/>
      <c r="H103" s="21"/>
      <c r="I103" s="21"/>
      <c r="J103" s="21"/>
      <c r="K103" s="21" t="s">
        <v>64</v>
      </c>
      <c r="L103" s="22" t="s">
        <v>49</v>
      </c>
    </row>
    <row r="104" spans="1:14" ht="25.2" customHeight="1" x14ac:dyDescent="0.4">
      <c r="A104" s="23">
        <v>44000</v>
      </c>
      <c r="B104" s="23" t="s">
        <v>50</v>
      </c>
      <c r="C104" s="23"/>
      <c r="D104" s="23"/>
      <c r="E104" s="24">
        <v>1250</v>
      </c>
      <c r="F104" s="24"/>
      <c r="G104" s="24"/>
      <c r="H104" s="24"/>
      <c r="I104" s="24"/>
      <c r="J104" s="24"/>
      <c r="K104" s="24" t="s">
        <v>64</v>
      </c>
      <c r="L104" s="25" t="s">
        <v>51</v>
      </c>
    </row>
    <row r="105" spans="1:14" ht="25.2" customHeight="1" x14ac:dyDescent="0.4">
      <c r="A105" s="23">
        <v>44000</v>
      </c>
      <c r="B105" s="23" t="s">
        <v>50</v>
      </c>
      <c r="C105" s="23"/>
      <c r="D105" s="23"/>
      <c r="E105" s="24">
        <v>46200</v>
      </c>
      <c r="F105" s="24"/>
      <c r="G105" s="24"/>
      <c r="H105" s="24"/>
      <c r="I105" s="24"/>
      <c r="J105" s="24"/>
      <c r="K105" s="24" t="s">
        <v>66</v>
      </c>
      <c r="L105" s="25" t="s">
        <v>59</v>
      </c>
    </row>
    <row r="106" spans="1:14" ht="25.2" customHeight="1" x14ac:dyDescent="0.4">
      <c r="A106" s="23">
        <v>44000</v>
      </c>
      <c r="B106" s="23" t="s">
        <v>50</v>
      </c>
      <c r="C106" s="23"/>
      <c r="D106" s="23"/>
      <c r="E106" s="24"/>
      <c r="F106" s="24"/>
      <c r="G106" s="24"/>
      <c r="H106" s="24"/>
      <c r="I106" s="24"/>
      <c r="J106" s="24">
        <v>7600</v>
      </c>
      <c r="K106" s="24" t="s">
        <v>68</v>
      </c>
      <c r="L106" s="25" t="s">
        <v>53</v>
      </c>
    </row>
    <row r="107" spans="1:14" ht="25.2" customHeight="1" x14ac:dyDescent="0.4">
      <c r="A107" s="23">
        <v>44000</v>
      </c>
      <c r="B107" s="23" t="s">
        <v>50</v>
      </c>
      <c r="C107" s="23"/>
      <c r="D107" s="23"/>
      <c r="E107" s="24">
        <v>11000</v>
      </c>
      <c r="F107" s="24"/>
      <c r="G107" s="24"/>
      <c r="H107" s="24"/>
      <c r="I107" s="24"/>
      <c r="J107" s="24"/>
      <c r="K107" s="24" t="s">
        <v>69</v>
      </c>
      <c r="L107" s="25" t="s">
        <v>54</v>
      </c>
    </row>
    <row r="108" spans="1:14" ht="25.2" customHeight="1" x14ac:dyDescent="0.4">
      <c r="A108" s="23">
        <v>44000</v>
      </c>
      <c r="B108" s="23" t="s">
        <v>50</v>
      </c>
      <c r="C108" s="23"/>
      <c r="D108" s="23"/>
      <c r="E108" s="24"/>
      <c r="F108" s="24">
        <f>N108*N96/9</f>
        <v>4263.16</v>
      </c>
      <c r="G108" s="24"/>
      <c r="H108" s="24"/>
      <c r="I108" s="24"/>
      <c r="J108" s="24"/>
      <c r="K108" s="24" t="s">
        <v>63</v>
      </c>
      <c r="L108" s="25" t="s">
        <v>45</v>
      </c>
      <c r="N108" s="1">
        <v>36</v>
      </c>
    </row>
    <row r="109" spans="1:14" ht="25.2" customHeight="1" x14ac:dyDescent="0.4">
      <c r="A109" s="26">
        <v>44000</v>
      </c>
      <c r="B109" s="26" t="s">
        <v>50</v>
      </c>
      <c r="C109" s="26"/>
      <c r="D109" s="26"/>
      <c r="E109" s="27">
        <v>2300</v>
      </c>
      <c r="F109" s="27"/>
      <c r="G109" s="27"/>
      <c r="H109" s="27"/>
      <c r="I109" s="27"/>
      <c r="J109" s="27"/>
      <c r="K109" s="27" t="s">
        <v>62</v>
      </c>
      <c r="L109" s="28" t="s">
        <v>52</v>
      </c>
    </row>
    <row r="110" spans="1:14" ht="25.2" customHeight="1" x14ac:dyDescent="0.4">
      <c r="A110" s="697" t="s">
        <v>17</v>
      </c>
      <c r="B110" s="697"/>
      <c r="C110" s="155"/>
      <c r="D110" s="155"/>
      <c r="E110" s="18">
        <f t="shared" ref="E110:J110" si="6">SUM(E96:E109)</f>
        <v>112800</v>
      </c>
      <c r="F110" s="18">
        <f t="shared" si="6"/>
        <v>8526.32</v>
      </c>
      <c r="G110" s="18">
        <f t="shared" si="6"/>
        <v>0</v>
      </c>
      <c r="H110" s="18">
        <f t="shared" si="6"/>
        <v>0</v>
      </c>
      <c r="I110" s="18">
        <f t="shared" si="6"/>
        <v>60000</v>
      </c>
      <c r="J110" s="18">
        <f t="shared" si="6"/>
        <v>16200</v>
      </c>
      <c r="K110" s="18" t="s">
        <v>72</v>
      </c>
      <c r="L110" s="19" t="s">
        <v>71</v>
      </c>
    </row>
    <row r="111" spans="1:14" ht="25.2" customHeight="1" x14ac:dyDescent="0.4">
      <c r="A111" s="697" t="s">
        <v>18</v>
      </c>
      <c r="B111" s="697"/>
      <c r="C111" s="155"/>
      <c r="D111" s="155"/>
      <c r="E111" s="711">
        <f>SUM(E110:J110)</f>
        <v>197526.32</v>
      </c>
      <c r="F111" s="711"/>
      <c r="G111" s="711"/>
      <c r="H111" s="711"/>
      <c r="I111" s="711"/>
      <c r="J111" s="711"/>
      <c r="K111" s="18"/>
      <c r="L111" s="19"/>
    </row>
    <row r="112" spans="1:14" ht="25.2" customHeight="1" x14ac:dyDescent="0.4">
      <c r="A112" s="6" t="s">
        <v>0</v>
      </c>
      <c r="B112" s="6" t="s">
        <v>1</v>
      </c>
      <c r="C112" s="6"/>
      <c r="D112" s="6"/>
      <c r="E112" s="6" t="s">
        <v>74</v>
      </c>
      <c r="F112" s="6" t="s">
        <v>3</v>
      </c>
      <c r="G112" s="6" t="s">
        <v>4</v>
      </c>
      <c r="H112" s="6" t="s">
        <v>5</v>
      </c>
      <c r="I112" s="6" t="s">
        <v>4</v>
      </c>
      <c r="J112" s="6" t="s">
        <v>7</v>
      </c>
      <c r="K112" s="6" t="s">
        <v>60</v>
      </c>
      <c r="L112" s="6" t="s">
        <v>8</v>
      </c>
      <c r="N112" s="1">
        <v>1398.4</v>
      </c>
    </row>
    <row r="113" spans="1:14" ht="25.2" customHeight="1" x14ac:dyDescent="0.4">
      <c r="A113" s="20">
        <v>44008</v>
      </c>
      <c r="B113" s="20" t="s">
        <v>25</v>
      </c>
      <c r="C113" s="20"/>
      <c r="D113" s="20"/>
      <c r="E113" s="21">
        <v>2600</v>
      </c>
      <c r="F113" s="21"/>
      <c r="G113" s="21"/>
      <c r="H113" s="21"/>
      <c r="I113" s="21"/>
      <c r="J113" s="21"/>
      <c r="K113" s="21" t="s">
        <v>70</v>
      </c>
      <c r="L113" s="22" t="s">
        <v>55</v>
      </c>
    </row>
    <row r="114" spans="1:14" ht="25.2" customHeight="1" x14ac:dyDescent="0.4">
      <c r="A114" s="23">
        <v>44008</v>
      </c>
      <c r="B114" s="23" t="s">
        <v>25</v>
      </c>
      <c r="C114" s="23"/>
      <c r="D114" s="23"/>
      <c r="E114" s="24"/>
      <c r="F114" s="24">
        <f>N114*N96/9</f>
        <v>10657.9</v>
      </c>
      <c r="G114" s="24"/>
      <c r="H114" s="24"/>
      <c r="I114" s="24"/>
      <c r="J114" s="24"/>
      <c r="K114" s="24" t="s">
        <v>63</v>
      </c>
      <c r="L114" s="25" t="s">
        <v>57</v>
      </c>
      <c r="N114" s="1">
        <f>45+45</f>
        <v>90</v>
      </c>
    </row>
    <row r="115" spans="1:14" ht="25.2" customHeight="1" x14ac:dyDescent="0.4">
      <c r="A115" s="26">
        <v>44008</v>
      </c>
      <c r="B115" s="26" t="s">
        <v>25</v>
      </c>
      <c r="C115" s="26"/>
      <c r="D115" s="26"/>
      <c r="E115" s="27">
        <v>2200</v>
      </c>
      <c r="F115" s="27"/>
      <c r="G115" s="27"/>
      <c r="H115" s="27"/>
      <c r="I115" s="27"/>
      <c r="J115" s="27"/>
      <c r="K115" s="27" t="s">
        <v>70</v>
      </c>
      <c r="L115" s="28" t="s">
        <v>56</v>
      </c>
    </row>
    <row r="116" spans="1:14" ht="25.2" customHeight="1" x14ac:dyDescent="0.4">
      <c r="A116" s="697" t="s">
        <v>17</v>
      </c>
      <c r="B116" s="697"/>
      <c r="C116" s="155"/>
      <c r="D116" s="155"/>
      <c r="E116" s="18">
        <f t="shared" ref="E116:J116" si="7">SUM(E113:E115)</f>
        <v>4800</v>
      </c>
      <c r="F116" s="18">
        <f t="shared" si="7"/>
        <v>10657.9</v>
      </c>
      <c r="G116" s="18">
        <f t="shared" si="7"/>
        <v>0</v>
      </c>
      <c r="H116" s="18">
        <f t="shared" si="7"/>
        <v>0</v>
      </c>
      <c r="I116" s="18">
        <f t="shared" si="7"/>
        <v>0</v>
      </c>
      <c r="J116" s="18">
        <f t="shared" si="7"/>
        <v>0</v>
      </c>
      <c r="K116" s="18" t="s">
        <v>72</v>
      </c>
      <c r="L116" s="19" t="s">
        <v>71</v>
      </c>
    </row>
    <row r="117" spans="1:14" ht="25.2" customHeight="1" thickBot="1" x14ac:dyDescent="0.45">
      <c r="A117" s="701" t="s">
        <v>18</v>
      </c>
      <c r="B117" s="701"/>
      <c r="C117" s="160"/>
      <c r="D117" s="160"/>
      <c r="E117" s="702">
        <f>SUM(E116:J116)</f>
        <v>15457.9</v>
      </c>
      <c r="F117" s="702"/>
      <c r="G117" s="702"/>
      <c r="H117" s="702"/>
      <c r="I117" s="702"/>
      <c r="J117" s="702"/>
      <c r="K117" s="21"/>
      <c r="L117" s="22"/>
    </row>
    <row r="118" spans="1:14" ht="25.2" customHeight="1" thickBot="1" x14ac:dyDescent="0.45">
      <c r="A118" s="703" t="s">
        <v>73</v>
      </c>
      <c r="B118" s="704"/>
      <c r="C118" s="163"/>
      <c r="D118" s="163"/>
      <c r="E118" s="705">
        <f>E111+E117</f>
        <v>212984.22</v>
      </c>
      <c r="F118" s="705"/>
      <c r="G118" s="705"/>
      <c r="H118" s="705"/>
      <c r="I118" s="705"/>
      <c r="J118" s="706"/>
      <c r="K118" s="33"/>
      <c r="L118" s="34"/>
    </row>
    <row r="120" spans="1:14" ht="25.2" customHeight="1" x14ac:dyDescent="0.4">
      <c r="A120" s="6" t="s">
        <v>0</v>
      </c>
      <c r="B120" s="6" t="s">
        <v>1</v>
      </c>
      <c r="C120" s="6"/>
      <c r="D120" s="6"/>
      <c r="E120" s="6" t="s">
        <v>74</v>
      </c>
      <c r="F120" s="6" t="s">
        <v>3</v>
      </c>
      <c r="G120" s="6" t="s">
        <v>4</v>
      </c>
      <c r="H120" s="6" t="s">
        <v>5</v>
      </c>
      <c r="I120" s="6" t="s">
        <v>4</v>
      </c>
      <c r="J120" s="6" t="s">
        <v>7</v>
      </c>
      <c r="K120" s="6" t="s">
        <v>60</v>
      </c>
      <c r="L120" s="6" t="s">
        <v>8</v>
      </c>
      <c r="N120" s="1">
        <v>1127.9000000000001</v>
      </c>
    </row>
    <row r="121" spans="1:14" ht="25.2" customHeight="1" x14ac:dyDescent="0.4">
      <c r="A121" s="20">
        <v>44019</v>
      </c>
      <c r="B121" s="20" t="s">
        <v>25</v>
      </c>
      <c r="C121" s="20"/>
      <c r="D121" s="20"/>
      <c r="E121" s="32">
        <v>2200</v>
      </c>
      <c r="F121" s="32"/>
      <c r="G121" s="32"/>
      <c r="H121" s="32"/>
      <c r="I121" s="32"/>
      <c r="J121" s="32"/>
      <c r="K121" s="32" t="s">
        <v>61</v>
      </c>
      <c r="L121" s="31" t="s">
        <v>55</v>
      </c>
    </row>
    <row r="122" spans="1:14" ht="25.2" customHeight="1" x14ac:dyDescent="0.4">
      <c r="A122" s="20">
        <v>44019</v>
      </c>
      <c r="B122" s="23" t="s">
        <v>25</v>
      </c>
      <c r="C122" s="23"/>
      <c r="D122" s="23"/>
      <c r="E122" s="24"/>
      <c r="F122" s="24">
        <f>N122*N120/9</f>
        <v>11279.000000000002</v>
      </c>
      <c r="G122" s="24"/>
      <c r="H122" s="24"/>
      <c r="I122" s="24"/>
      <c r="J122" s="24"/>
      <c r="K122" s="24" t="s">
        <v>63</v>
      </c>
      <c r="L122" s="25" t="s">
        <v>57</v>
      </c>
      <c r="N122" s="1">
        <f>45+45</f>
        <v>90</v>
      </c>
    </row>
    <row r="123" spans="1:14" ht="25.2" customHeight="1" x14ac:dyDescent="0.4">
      <c r="A123" s="20">
        <v>44019</v>
      </c>
      <c r="B123" s="26" t="s">
        <v>25</v>
      </c>
      <c r="C123" s="26"/>
      <c r="D123" s="26"/>
      <c r="E123" s="27">
        <v>2200</v>
      </c>
      <c r="F123" s="27"/>
      <c r="G123" s="27"/>
      <c r="H123" s="27"/>
      <c r="I123" s="27"/>
      <c r="J123" s="27"/>
      <c r="K123" s="27" t="s">
        <v>61</v>
      </c>
      <c r="L123" s="28" t="s">
        <v>56</v>
      </c>
    </row>
    <row r="124" spans="1:14" ht="25.2" customHeight="1" x14ac:dyDescent="0.4">
      <c r="A124" s="697" t="s">
        <v>17</v>
      </c>
      <c r="B124" s="697"/>
      <c r="C124" s="155"/>
      <c r="D124" s="155"/>
      <c r="E124" s="30">
        <f t="shared" ref="E124:J124" si="8">SUM(E121:E123)</f>
        <v>4400</v>
      </c>
      <c r="F124" s="30">
        <f t="shared" si="8"/>
        <v>11279.000000000002</v>
      </c>
      <c r="G124" s="30">
        <f t="shared" si="8"/>
        <v>0</v>
      </c>
      <c r="H124" s="30">
        <f t="shared" si="8"/>
        <v>0</v>
      </c>
      <c r="I124" s="30">
        <f t="shared" si="8"/>
        <v>0</v>
      </c>
      <c r="J124" s="30">
        <f t="shared" si="8"/>
        <v>0</v>
      </c>
      <c r="K124" s="30" t="s">
        <v>62</v>
      </c>
      <c r="L124" s="29" t="s">
        <v>75</v>
      </c>
    </row>
    <row r="125" spans="1:14" ht="25.2" customHeight="1" thickBot="1" x14ac:dyDescent="0.45">
      <c r="A125" s="701" t="s">
        <v>18</v>
      </c>
      <c r="B125" s="701"/>
      <c r="C125" s="160"/>
      <c r="D125" s="160"/>
      <c r="E125" s="702">
        <f>SUM(E124:J124)</f>
        <v>15679.000000000002</v>
      </c>
      <c r="F125" s="702"/>
      <c r="G125" s="702"/>
      <c r="H125" s="702"/>
      <c r="I125" s="702"/>
      <c r="J125" s="702"/>
      <c r="K125" s="32"/>
      <c r="L125" s="31"/>
    </row>
    <row r="126" spans="1:14" ht="25.2" customHeight="1" thickBot="1" x14ac:dyDescent="0.45">
      <c r="A126" s="703" t="s">
        <v>73</v>
      </c>
      <c r="B126" s="704"/>
      <c r="C126" s="163"/>
      <c r="D126" s="163"/>
      <c r="E126" s="705">
        <f>E119+E125</f>
        <v>15679.000000000002</v>
      </c>
      <c r="F126" s="705"/>
      <c r="G126" s="705"/>
      <c r="H126" s="705"/>
      <c r="I126" s="705"/>
      <c r="J126" s="706"/>
      <c r="K126" s="33"/>
      <c r="L126" s="34"/>
    </row>
    <row r="128" spans="1:14" ht="25.2" customHeight="1" x14ac:dyDescent="0.4">
      <c r="A128" s="6" t="s">
        <v>0</v>
      </c>
      <c r="B128" s="6" t="s">
        <v>1</v>
      </c>
      <c r="C128" s="6"/>
      <c r="D128" s="6"/>
      <c r="E128" s="6" t="s">
        <v>74</v>
      </c>
      <c r="F128" s="6" t="s">
        <v>3</v>
      </c>
      <c r="G128" s="6" t="s">
        <v>4</v>
      </c>
      <c r="H128" s="6" t="s">
        <v>5</v>
      </c>
      <c r="I128" s="6" t="s">
        <v>4</v>
      </c>
      <c r="J128" s="6" t="s">
        <v>7</v>
      </c>
      <c r="K128" s="6" t="s">
        <v>60</v>
      </c>
      <c r="L128" s="6" t="s">
        <v>8</v>
      </c>
      <c r="N128" s="43">
        <v>1127.9000000000001</v>
      </c>
    </row>
    <row r="129" spans="1:14" ht="25.2" customHeight="1" x14ac:dyDescent="0.4">
      <c r="A129" s="20">
        <v>44032</v>
      </c>
      <c r="B129" s="20" t="s">
        <v>10</v>
      </c>
      <c r="C129" s="20"/>
      <c r="D129" s="20"/>
      <c r="E129" s="38">
        <v>2600</v>
      </c>
      <c r="F129" s="38"/>
      <c r="G129" s="38"/>
      <c r="H129" s="38"/>
      <c r="I129" s="38"/>
      <c r="J129" s="38"/>
      <c r="K129" s="38" t="s">
        <v>61</v>
      </c>
      <c r="L129" s="37" t="s">
        <v>87</v>
      </c>
    </row>
    <row r="130" spans="1:14" ht="25.2" customHeight="1" x14ac:dyDescent="0.4">
      <c r="A130" s="23">
        <v>44032</v>
      </c>
      <c r="B130" s="23" t="s">
        <v>10</v>
      </c>
      <c r="C130" s="23"/>
      <c r="D130" s="23"/>
      <c r="E130" s="24"/>
      <c r="F130" s="24">
        <f>N130*N128/9</f>
        <v>11279.000000000002</v>
      </c>
      <c r="G130" s="24"/>
      <c r="H130" s="24"/>
      <c r="I130" s="24"/>
      <c r="J130" s="24"/>
      <c r="K130" s="24" t="s">
        <v>85</v>
      </c>
      <c r="L130" s="25" t="s">
        <v>76</v>
      </c>
      <c r="N130" s="1">
        <f>45+45</f>
        <v>90</v>
      </c>
    </row>
    <row r="131" spans="1:14" ht="25.2" customHeight="1" x14ac:dyDescent="0.4">
      <c r="A131" s="26">
        <v>44032</v>
      </c>
      <c r="B131" s="26" t="s">
        <v>10</v>
      </c>
      <c r="C131" s="26"/>
      <c r="D131" s="26"/>
      <c r="E131" s="27">
        <v>2600</v>
      </c>
      <c r="F131" s="27"/>
      <c r="G131" s="27"/>
      <c r="H131" s="27"/>
      <c r="I131" s="27"/>
      <c r="J131" s="27"/>
      <c r="K131" s="27" t="s">
        <v>61</v>
      </c>
      <c r="L131" s="28" t="s">
        <v>56</v>
      </c>
    </row>
    <row r="132" spans="1:14" ht="25.2" customHeight="1" x14ac:dyDescent="0.4">
      <c r="A132" s="20">
        <v>44040</v>
      </c>
      <c r="B132" s="20" t="s">
        <v>77</v>
      </c>
      <c r="C132" s="20"/>
      <c r="D132" s="20"/>
      <c r="E132" s="38">
        <v>1800</v>
      </c>
      <c r="F132" s="38"/>
      <c r="G132" s="38"/>
      <c r="H132" s="38"/>
      <c r="I132" s="38"/>
      <c r="J132" s="38"/>
      <c r="K132" s="38" t="s">
        <v>84</v>
      </c>
      <c r="L132" s="37" t="s">
        <v>81</v>
      </c>
    </row>
    <row r="133" spans="1:14" ht="25.2" customHeight="1" x14ac:dyDescent="0.4">
      <c r="A133" s="23">
        <v>44040</v>
      </c>
      <c r="B133" s="23" t="s">
        <v>77</v>
      </c>
      <c r="C133" s="23"/>
      <c r="D133" s="23"/>
      <c r="E133" s="24">
        <v>2200</v>
      </c>
      <c r="F133" s="24"/>
      <c r="G133" s="24"/>
      <c r="H133" s="24"/>
      <c r="I133" s="24"/>
      <c r="J133" s="24"/>
      <c r="K133" s="24" t="s">
        <v>84</v>
      </c>
      <c r="L133" s="25" t="s">
        <v>82</v>
      </c>
    </row>
    <row r="134" spans="1:14" ht="25.2" customHeight="1" x14ac:dyDescent="0.4">
      <c r="A134" s="23">
        <v>44040</v>
      </c>
      <c r="B134" s="23" t="s">
        <v>77</v>
      </c>
      <c r="C134" s="23"/>
      <c r="D134" s="23"/>
      <c r="E134" s="24"/>
      <c r="F134" s="24">
        <f>N134*N128/9</f>
        <v>14412.055555555557</v>
      </c>
      <c r="G134" s="24"/>
      <c r="H134" s="24"/>
      <c r="I134" s="24"/>
      <c r="J134" s="24"/>
      <c r="K134" s="24" t="s">
        <v>86</v>
      </c>
      <c r="L134" s="25" t="s">
        <v>83</v>
      </c>
      <c r="N134" s="1">
        <f>115</f>
        <v>115</v>
      </c>
    </row>
    <row r="135" spans="1:14" ht="25.2" customHeight="1" x14ac:dyDescent="0.4">
      <c r="A135" s="26">
        <v>44040</v>
      </c>
      <c r="B135" s="26" t="s">
        <v>77</v>
      </c>
      <c r="C135" s="26"/>
      <c r="D135" s="26"/>
      <c r="E135" s="27">
        <v>2200</v>
      </c>
      <c r="F135" s="27"/>
      <c r="G135" s="27"/>
      <c r="H135" s="27"/>
      <c r="I135" s="27"/>
      <c r="J135" s="27"/>
      <c r="K135" s="27" t="s">
        <v>84</v>
      </c>
      <c r="L135" s="28" t="s">
        <v>56</v>
      </c>
    </row>
    <row r="136" spans="1:14" ht="25.2" customHeight="1" x14ac:dyDescent="0.4">
      <c r="A136" s="697" t="s">
        <v>17</v>
      </c>
      <c r="B136" s="697"/>
      <c r="C136" s="155"/>
      <c r="D136" s="155"/>
      <c r="E136" s="36">
        <f t="shared" ref="E136:J136" si="9">SUM(E129:E135)</f>
        <v>11400</v>
      </c>
      <c r="F136" s="36">
        <f t="shared" si="9"/>
        <v>25691.055555555558</v>
      </c>
      <c r="G136" s="36">
        <f t="shared" si="9"/>
        <v>0</v>
      </c>
      <c r="H136" s="36">
        <f t="shared" si="9"/>
        <v>0</v>
      </c>
      <c r="I136" s="36">
        <f t="shared" si="9"/>
        <v>0</v>
      </c>
      <c r="J136" s="36">
        <f t="shared" si="9"/>
        <v>0</v>
      </c>
      <c r="K136" s="36" t="s">
        <v>62</v>
      </c>
      <c r="L136" s="35" t="s">
        <v>75</v>
      </c>
    </row>
    <row r="137" spans="1:14" ht="25.2" customHeight="1" thickBot="1" x14ac:dyDescent="0.45">
      <c r="A137" s="701" t="s">
        <v>18</v>
      </c>
      <c r="B137" s="701"/>
      <c r="C137" s="160"/>
      <c r="D137" s="160"/>
      <c r="E137" s="702">
        <f>SUM(E136:J136)</f>
        <v>37091.055555555562</v>
      </c>
      <c r="F137" s="702"/>
      <c r="G137" s="702"/>
      <c r="H137" s="702"/>
      <c r="I137" s="702"/>
      <c r="J137" s="702"/>
      <c r="K137" s="38"/>
      <c r="L137" s="37"/>
    </row>
    <row r="138" spans="1:14" ht="25.2" customHeight="1" thickBot="1" x14ac:dyDescent="0.45">
      <c r="A138" s="703" t="s">
        <v>73</v>
      </c>
      <c r="B138" s="704"/>
      <c r="C138" s="163"/>
      <c r="D138" s="163"/>
      <c r="E138" s="705">
        <f>E127+E137</f>
        <v>37091.055555555562</v>
      </c>
      <c r="F138" s="705"/>
      <c r="G138" s="705"/>
      <c r="H138" s="705"/>
      <c r="I138" s="705"/>
      <c r="J138" s="706"/>
      <c r="K138" s="33"/>
      <c r="L138" s="34"/>
    </row>
    <row r="140" spans="1:14" ht="25.2" customHeight="1" x14ac:dyDescent="0.4">
      <c r="A140" s="6" t="s">
        <v>0</v>
      </c>
      <c r="B140" s="6" t="s">
        <v>1</v>
      </c>
      <c r="C140" s="6"/>
      <c r="D140" s="6"/>
      <c r="E140" s="6" t="s">
        <v>74</v>
      </c>
      <c r="F140" s="6" t="s">
        <v>3</v>
      </c>
      <c r="G140" s="6" t="s">
        <v>4</v>
      </c>
      <c r="H140" s="6" t="s">
        <v>5</v>
      </c>
      <c r="I140" s="6" t="s">
        <v>4</v>
      </c>
      <c r="J140" s="6" t="s">
        <v>7</v>
      </c>
      <c r="K140" s="6" t="s">
        <v>60</v>
      </c>
      <c r="L140" s="6" t="s">
        <v>8</v>
      </c>
      <c r="N140" s="43">
        <v>1127.9000000000001</v>
      </c>
    </row>
    <row r="141" spans="1:14" ht="25.2" customHeight="1" x14ac:dyDescent="0.4">
      <c r="A141" s="20">
        <v>44043</v>
      </c>
      <c r="B141" s="26" t="s">
        <v>78</v>
      </c>
      <c r="C141" s="26"/>
      <c r="D141" s="26"/>
      <c r="E141" s="27"/>
      <c r="F141" s="27"/>
      <c r="G141" s="27"/>
      <c r="H141" s="27"/>
      <c r="I141" s="27"/>
      <c r="J141" s="27">
        <v>8000</v>
      </c>
      <c r="K141" s="27"/>
      <c r="L141" s="28" t="s">
        <v>79</v>
      </c>
    </row>
    <row r="142" spans="1:14" ht="25.2" customHeight="1" x14ac:dyDescent="0.4">
      <c r="A142" s="697" t="s">
        <v>17</v>
      </c>
      <c r="B142" s="697"/>
      <c r="C142" s="155"/>
      <c r="D142" s="155"/>
      <c r="E142" s="36">
        <f t="shared" ref="E142:J142" si="10">SUM(E141:E141)</f>
        <v>0</v>
      </c>
      <c r="F142" s="36">
        <f t="shared" si="10"/>
        <v>0</v>
      </c>
      <c r="G142" s="36">
        <f t="shared" si="10"/>
        <v>0</v>
      </c>
      <c r="H142" s="36">
        <f t="shared" si="10"/>
        <v>0</v>
      </c>
      <c r="I142" s="36">
        <f t="shared" si="10"/>
        <v>0</v>
      </c>
      <c r="J142" s="36">
        <f t="shared" si="10"/>
        <v>8000</v>
      </c>
      <c r="K142" s="36" t="s">
        <v>80</v>
      </c>
      <c r="L142" s="35"/>
    </row>
    <row r="143" spans="1:14" ht="25.2" customHeight="1" thickBot="1" x14ac:dyDescent="0.45">
      <c r="A143" s="701" t="s">
        <v>18</v>
      </c>
      <c r="B143" s="701"/>
      <c r="C143" s="160"/>
      <c r="D143" s="160"/>
      <c r="E143" s="702">
        <f>SUM(E142:J142)</f>
        <v>8000</v>
      </c>
      <c r="F143" s="702"/>
      <c r="G143" s="702"/>
      <c r="H143" s="702"/>
      <c r="I143" s="702"/>
      <c r="J143" s="702"/>
      <c r="K143" s="38"/>
      <c r="L143" s="37"/>
    </row>
    <row r="144" spans="1:14" ht="25.2" customHeight="1" thickBot="1" x14ac:dyDescent="0.45">
      <c r="A144" s="703" t="s">
        <v>73</v>
      </c>
      <c r="B144" s="704"/>
      <c r="C144" s="163"/>
      <c r="D144" s="163"/>
      <c r="E144" s="705">
        <f>E139+E143</f>
        <v>8000</v>
      </c>
      <c r="F144" s="705"/>
      <c r="G144" s="705"/>
      <c r="H144" s="705"/>
      <c r="I144" s="705"/>
      <c r="J144" s="706"/>
      <c r="K144" s="33"/>
      <c r="L144" s="34"/>
    </row>
    <row r="147" spans="1:14" ht="25.2" customHeight="1" x14ac:dyDescent="0.4">
      <c r="A147" s="6" t="s">
        <v>0</v>
      </c>
      <c r="B147" s="6" t="s">
        <v>1</v>
      </c>
      <c r="C147" s="6"/>
      <c r="D147" s="6"/>
      <c r="E147" s="6" t="s">
        <v>74</v>
      </c>
      <c r="F147" s="6" t="s">
        <v>3</v>
      </c>
      <c r="G147" s="6" t="s">
        <v>4</v>
      </c>
      <c r="H147" s="6" t="s">
        <v>5</v>
      </c>
      <c r="I147" s="6" t="s">
        <v>4</v>
      </c>
      <c r="J147" s="6" t="s">
        <v>7</v>
      </c>
      <c r="K147" s="6" t="s">
        <v>60</v>
      </c>
      <c r="L147" s="6" t="s">
        <v>8</v>
      </c>
      <c r="N147" s="43">
        <v>1162.9000000000001</v>
      </c>
    </row>
    <row r="148" spans="1:14" ht="25.2" customHeight="1" x14ac:dyDescent="0.4">
      <c r="A148" s="20">
        <v>44054</v>
      </c>
      <c r="B148" s="20" t="s">
        <v>88</v>
      </c>
      <c r="C148" s="20"/>
      <c r="D148" s="20"/>
      <c r="E148" s="41">
        <v>2900</v>
      </c>
      <c r="F148" s="41"/>
      <c r="G148" s="41"/>
      <c r="H148" s="41"/>
      <c r="I148" s="41"/>
      <c r="J148" s="41"/>
      <c r="K148" s="41" t="s">
        <v>61</v>
      </c>
      <c r="L148" s="40" t="s">
        <v>93</v>
      </c>
    </row>
    <row r="149" spans="1:14" ht="25.2" customHeight="1" x14ac:dyDescent="0.4">
      <c r="A149" s="23">
        <v>44054</v>
      </c>
      <c r="B149" s="23" t="s">
        <v>88</v>
      </c>
      <c r="C149" s="23"/>
      <c r="D149" s="23"/>
      <c r="E149" s="24">
        <v>2600</v>
      </c>
      <c r="F149" s="24"/>
      <c r="G149" s="24"/>
      <c r="H149" s="24"/>
      <c r="I149" s="24"/>
      <c r="J149" s="24"/>
      <c r="K149" s="24" t="s">
        <v>61</v>
      </c>
      <c r="L149" s="25" t="s">
        <v>103</v>
      </c>
    </row>
    <row r="150" spans="1:14" ht="25.2" customHeight="1" x14ac:dyDescent="0.4">
      <c r="A150" s="26">
        <v>44054</v>
      </c>
      <c r="B150" s="26" t="s">
        <v>88</v>
      </c>
      <c r="C150" s="26"/>
      <c r="D150" s="26"/>
      <c r="E150" s="27"/>
      <c r="F150" s="27">
        <f>N150*N147/9</f>
        <v>16539.022222222222</v>
      </c>
      <c r="G150" s="27"/>
      <c r="H150" s="27"/>
      <c r="I150" s="27"/>
      <c r="J150" s="27"/>
      <c r="K150" s="27" t="s">
        <v>97</v>
      </c>
      <c r="L150" s="28" t="s">
        <v>100</v>
      </c>
      <c r="N150" s="1">
        <v>128</v>
      </c>
    </row>
    <row r="151" spans="1:14" ht="25.2" customHeight="1" x14ac:dyDescent="0.4">
      <c r="A151" s="20">
        <v>44061</v>
      </c>
      <c r="B151" s="20" t="s">
        <v>88</v>
      </c>
      <c r="C151" s="20"/>
      <c r="D151" s="20"/>
      <c r="E151" s="41">
        <v>2600</v>
      </c>
      <c r="F151" s="41"/>
      <c r="G151" s="41"/>
      <c r="H151" s="41"/>
      <c r="I151" s="41"/>
      <c r="J151" s="41"/>
      <c r="K151" s="41" t="s">
        <v>91</v>
      </c>
      <c r="L151" s="40" t="s">
        <v>87</v>
      </c>
    </row>
    <row r="152" spans="1:14" ht="25.2" customHeight="1" x14ac:dyDescent="0.4">
      <c r="A152" s="23">
        <v>44061</v>
      </c>
      <c r="B152" s="23" t="s">
        <v>77</v>
      </c>
      <c r="C152" s="23"/>
      <c r="D152" s="23"/>
      <c r="E152" s="24">
        <v>2600</v>
      </c>
      <c r="F152" s="24"/>
      <c r="G152" s="24"/>
      <c r="H152" s="24"/>
      <c r="I152" s="24"/>
      <c r="J152" s="24"/>
      <c r="K152" s="24" t="s">
        <v>91</v>
      </c>
      <c r="L152" s="25" t="s">
        <v>94</v>
      </c>
    </row>
    <row r="153" spans="1:14" ht="25.2" customHeight="1" x14ac:dyDescent="0.4">
      <c r="A153" s="26">
        <v>44061</v>
      </c>
      <c r="B153" s="26" t="s">
        <v>77</v>
      </c>
      <c r="C153" s="26"/>
      <c r="D153" s="26"/>
      <c r="E153" s="27"/>
      <c r="F153" s="27">
        <f>N153*N147/9</f>
        <v>12145.844444444445</v>
      </c>
      <c r="G153" s="27"/>
      <c r="H153" s="27"/>
      <c r="I153" s="27"/>
      <c r="J153" s="27"/>
      <c r="K153" s="27" t="s">
        <v>98</v>
      </c>
      <c r="L153" s="28" t="s">
        <v>101</v>
      </c>
      <c r="N153" s="1">
        <v>94</v>
      </c>
    </row>
    <row r="154" spans="1:14" ht="25.2" customHeight="1" x14ac:dyDescent="0.4">
      <c r="A154" s="20">
        <v>44067</v>
      </c>
      <c r="B154" s="20" t="s">
        <v>89</v>
      </c>
      <c r="C154" s="20"/>
      <c r="D154" s="20"/>
      <c r="E154" s="41">
        <v>2600</v>
      </c>
      <c r="F154" s="41"/>
      <c r="G154" s="41"/>
      <c r="H154" s="41"/>
      <c r="I154" s="41"/>
      <c r="J154" s="41"/>
      <c r="K154" s="41" t="s">
        <v>92</v>
      </c>
      <c r="L154" s="40" t="s">
        <v>87</v>
      </c>
    </row>
    <row r="155" spans="1:14" ht="25.2" customHeight="1" x14ac:dyDescent="0.4">
      <c r="A155" s="23">
        <v>44067</v>
      </c>
      <c r="B155" s="23" t="s">
        <v>89</v>
      </c>
      <c r="C155" s="23"/>
      <c r="D155" s="23"/>
      <c r="E155" s="24">
        <v>2600</v>
      </c>
      <c r="F155" s="24"/>
      <c r="G155" s="24"/>
      <c r="H155" s="24"/>
      <c r="I155" s="24"/>
      <c r="J155" s="24"/>
      <c r="K155" s="24" t="s">
        <v>92</v>
      </c>
      <c r="L155" s="25" t="s">
        <v>94</v>
      </c>
    </row>
    <row r="156" spans="1:14" ht="25.2" customHeight="1" x14ac:dyDescent="0.4">
      <c r="A156" s="26">
        <v>44067</v>
      </c>
      <c r="B156" s="26" t="s">
        <v>90</v>
      </c>
      <c r="C156" s="26"/>
      <c r="D156" s="26"/>
      <c r="E156" s="27"/>
      <c r="F156" s="27">
        <f>N156*N147/9</f>
        <v>12145.844444444445</v>
      </c>
      <c r="G156" s="27"/>
      <c r="H156" s="27"/>
      <c r="I156" s="27"/>
      <c r="J156" s="27"/>
      <c r="K156" s="27" t="s">
        <v>99</v>
      </c>
      <c r="L156" s="28" t="s">
        <v>101</v>
      </c>
      <c r="N156" s="1">
        <v>94</v>
      </c>
    </row>
    <row r="157" spans="1:14" ht="25.2" customHeight="1" x14ac:dyDescent="0.4">
      <c r="A157" s="697" t="s">
        <v>17</v>
      </c>
      <c r="B157" s="697"/>
      <c r="C157" s="155"/>
      <c r="D157" s="155"/>
      <c r="E157" s="42">
        <f t="shared" ref="E157:J157" si="11">SUM(E148:E156)</f>
        <v>15900</v>
      </c>
      <c r="F157" s="42">
        <f t="shared" si="11"/>
        <v>40830.711111111115</v>
      </c>
      <c r="G157" s="42">
        <f t="shared" si="11"/>
        <v>0</v>
      </c>
      <c r="H157" s="42">
        <f t="shared" si="11"/>
        <v>0</v>
      </c>
      <c r="I157" s="42">
        <f t="shared" si="11"/>
        <v>0</v>
      </c>
      <c r="J157" s="42">
        <f t="shared" si="11"/>
        <v>0</v>
      </c>
      <c r="K157" s="42" t="s">
        <v>96</v>
      </c>
      <c r="L157" s="39" t="s">
        <v>95</v>
      </c>
    </row>
    <row r="158" spans="1:14" ht="25.2" customHeight="1" x14ac:dyDescent="0.4">
      <c r="A158" s="659" t="s">
        <v>102</v>
      </c>
      <c r="B158" s="659"/>
      <c r="C158" s="156"/>
      <c r="D158" s="156"/>
      <c r="E158" s="696">
        <f>SUM(E157:J157)</f>
        <v>56730.711111111115</v>
      </c>
      <c r="F158" s="696"/>
      <c r="G158" s="696"/>
      <c r="H158" s="696"/>
      <c r="I158" s="696"/>
      <c r="J158" s="696"/>
      <c r="K158" s="48"/>
      <c r="L158" s="49"/>
    </row>
    <row r="161" spans="1:14" ht="25.2" customHeight="1" x14ac:dyDescent="0.4">
      <c r="A161" s="6" t="s">
        <v>0</v>
      </c>
      <c r="B161" s="6" t="s">
        <v>1</v>
      </c>
      <c r="C161" s="6"/>
      <c r="D161" s="6"/>
      <c r="E161" s="6" t="s">
        <v>74</v>
      </c>
      <c r="F161" s="6" t="s">
        <v>3</v>
      </c>
      <c r="G161" s="6" t="s">
        <v>4</v>
      </c>
      <c r="H161" s="6" t="s">
        <v>5</v>
      </c>
      <c r="I161" s="6" t="s">
        <v>4</v>
      </c>
      <c r="J161" s="6" t="s">
        <v>7</v>
      </c>
      <c r="K161" s="6" t="s">
        <v>60</v>
      </c>
      <c r="L161" s="6" t="s">
        <v>8</v>
      </c>
      <c r="N161" s="43">
        <v>1163.56</v>
      </c>
    </row>
    <row r="162" spans="1:14" ht="25.2" customHeight="1" x14ac:dyDescent="0.4">
      <c r="A162" s="20">
        <v>44077</v>
      </c>
      <c r="B162" s="20" t="s">
        <v>50</v>
      </c>
      <c r="C162" s="20"/>
      <c r="D162" s="20"/>
      <c r="E162" s="46">
        <v>2200</v>
      </c>
      <c r="F162" s="46"/>
      <c r="G162" s="46"/>
      <c r="H162" s="46"/>
      <c r="I162" s="46"/>
      <c r="J162" s="46"/>
      <c r="K162" s="46" t="s">
        <v>61</v>
      </c>
      <c r="L162" s="45" t="s">
        <v>104</v>
      </c>
    </row>
    <row r="163" spans="1:14" ht="25.2" customHeight="1" x14ac:dyDescent="0.4">
      <c r="A163" s="23">
        <v>44077</v>
      </c>
      <c r="B163" s="23" t="s">
        <v>50</v>
      </c>
      <c r="C163" s="23"/>
      <c r="D163" s="23"/>
      <c r="E163" s="24">
        <v>2600</v>
      </c>
      <c r="F163" s="24"/>
      <c r="G163" s="24"/>
      <c r="H163" s="24"/>
      <c r="I163" s="24"/>
      <c r="J163" s="24"/>
      <c r="K163" s="24" t="s">
        <v>61</v>
      </c>
      <c r="L163" s="25" t="s">
        <v>109</v>
      </c>
    </row>
    <row r="164" spans="1:14" ht="25.2" customHeight="1" x14ac:dyDescent="0.4">
      <c r="A164" s="23">
        <v>44077</v>
      </c>
      <c r="B164" s="23" t="s">
        <v>13</v>
      </c>
      <c r="C164" s="23"/>
      <c r="D164" s="23"/>
      <c r="E164" s="24">
        <v>2600</v>
      </c>
      <c r="F164" s="24"/>
      <c r="G164" s="24"/>
      <c r="H164" s="24"/>
      <c r="I164" s="24"/>
      <c r="J164" s="24"/>
      <c r="K164" s="24" t="s">
        <v>61</v>
      </c>
      <c r="L164" s="25" t="s">
        <v>110</v>
      </c>
    </row>
    <row r="165" spans="1:14" ht="25.2" customHeight="1" x14ac:dyDescent="0.4">
      <c r="A165" s="23">
        <v>44077</v>
      </c>
      <c r="B165" s="23" t="s">
        <v>13</v>
      </c>
      <c r="C165" s="23"/>
      <c r="D165" s="23"/>
      <c r="E165" s="24">
        <v>2600</v>
      </c>
      <c r="F165" s="24"/>
      <c r="G165" s="24"/>
      <c r="H165" s="24"/>
      <c r="I165" s="24"/>
      <c r="J165" s="24"/>
      <c r="K165" s="24" t="s">
        <v>61</v>
      </c>
      <c r="L165" s="25" t="s">
        <v>109</v>
      </c>
    </row>
    <row r="166" spans="1:14" ht="25.2" customHeight="1" x14ac:dyDescent="0.4">
      <c r="A166" s="23">
        <v>44077</v>
      </c>
      <c r="B166" s="23" t="s">
        <v>13</v>
      </c>
      <c r="C166" s="23"/>
      <c r="D166" s="23"/>
      <c r="E166" s="24"/>
      <c r="F166" s="24"/>
      <c r="G166" s="24"/>
      <c r="H166" s="24"/>
      <c r="I166" s="24"/>
      <c r="J166" s="24">
        <v>8000</v>
      </c>
      <c r="K166" s="24" t="s">
        <v>62</v>
      </c>
      <c r="L166" s="25" t="s">
        <v>106</v>
      </c>
    </row>
    <row r="167" spans="1:14" ht="25.2" customHeight="1" x14ac:dyDescent="0.4">
      <c r="A167" s="26">
        <v>44077</v>
      </c>
      <c r="B167" s="26" t="s">
        <v>13</v>
      </c>
      <c r="C167" s="26"/>
      <c r="D167" s="26"/>
      <c r="E167" s="27"/>
      <c r="F167" s="56">
        <f>N167*N161/9</f>
        <v>24305.475555555557</v>
      </c>
      <c r="G167" s="27"/>
      <c r="H167" s="27"/>
      <c r="I167" s="27"/>
      <c r="J167" s="27"/>
      <c r="K167" s="27" t="s">
        <v>105</v>
      </c>
      <c r="L167" s="28" t="s">
        <v>107</v>
      </c>
      <c r="N167" s="1">
        <v>188</v>
      </c>
    </row>
    <row r="168" spans="1:14" ht="25.2" customHeight="1" x14ac:dyDescent="0.4">
      <c r="A168" s="697" t="s">
        <v>17</v>
      </c>
      <c r="B168" s="697"/>
      <c r="C168" s="155"/>
      <c r="D168" s="155"/>
      <c r="E168" s="47">
        <f>SUM(E162:E167)</f>
        <v>10000</v>
      </c>
      <c r="F168" s="57">
        <f>ROUNDDOWN(SUM(F162:F167),0)</f>
        <v>24305</v>
      </c>
      <c r="G168" s="47">
        <f>SUM(G162:G167)</f>
        <v>0</v>
      </c>
      <c r="H168" s="47">
        <f>SUM(H162:H167)</f>
        <v>0</v>
      </c>
      <c r="I168" s="47">
        <f>SUM(I162:I167)</f>
        <v>0</v>
      </c>
      <c r="J168" s="47">
        <f>SUM(J162:J167)</f>
        <v>8000</v>
      </c>
      <c r="K168" s="47" t="s">
        <v>65</v>
      </c>
      <c r="L168" s="44" t="s">
        <v>108</v>
      </c>
    </row>
    <row r="169" spans="1:14" ht="25.2" customHeight="1" x14ac:dyDescent="0.4">
      <c r="A169" s="659" t="s">
        <v>18</v>
      </c>
      <c r="B169" s="659"/>
      <c r="C169" s="156"/>
      <c r="D169" s="156"/>
      <c r="E169" s="696">
        <f>SUM(E168:J168)</f>
        <v>42305</v>
      </c>
      <c r="F169" s="696"/>
      <c r="G169" s="696"/>
      <c r="H169" s="696"/>
      <c r="I169" s="696"/>
      <c r="J169" s="696"/>
      <c r="K169" s="48"/>
      <c r="L169" s="49"/>
    </row>
    <row r="171" spans="1:14" ht="25.2" customHeight="1" x14ac:dyDescent="0.4">
      <c r="A171" s="6" t="s">
        <v>0</v>
      </c>
      <c r="B171" s="6" t="s">
        <v>1</v>
      </c>
      <c r="C171" s="6"/>
      <c r="D171" s="6"/>
      <c r="E171" s="6" t="s">
        <v>74</v>
      </c>
      <c r="F171" s="6" t="s">
        <v>3</v>
      </c>
      <c r="G171" s="6" t="s">
        <v>4</v>
      </c>
      <c r="H171" s="6" t="s">
        <v>5</v>
      </c>
      <c r="I171" s="6" t="s">
        <v>4</v>
      </c>
      <c r="J171" s="6" t="s">
        <v>7</v>
      </c>
      <c r="K171" s="6" t="s">
        <v>60</v>
      </c>
      <c r="L171" s="6" t="s">
        <v>8</v>
      </c>
      <c r="N171" s="43">
        <v>1163.56</v>
      </c>
    </row>
    <row r="172" spans="1:14" ht="25.2" customHeight="1" x14ac:dyDescent="0.4">
      <c r="A172" s="20">
        <v>44082</v>
      </c>
      <c r="B172" s="20" t="s">
        <v>32</v>
      </c>
      <c r="C172" s="20"/>
      <c r="D172" s="20"/>
      <c r="E172" s="54">
        <v>2200</v>
      </c>
      <c r="F172" s="54"/>
      <c r="G172" s="54"/>
      <c r="H172" s="54"/>
      <c r="I172" s="54"/>
      <c r="J172" s="54"/>
      <c r="K172" s="54" t="s">
        <v>61</v>
      </c>
      <c r="L172" s="53" t="s">
        <v>114</v>
      </c>
    </row>
    <row r="173" spans="1:14" ht="25.2" customHeight="1" x14ac:dyDescent="0.4">
      <c r="A173" s="23">
        <v>44082</v>
      </c>
      <c r="B173" s="23" t="s">
        <v>32</v>
      </c>
      <c r="C173" s="23"/>
      <c r="D173" s="23"/>
      <c r="E173" s="24">
        <v>2600</v>
      </c>
      <c r="F173" s="24"/>
      <c r="G173" s="24"/>
      <c r="H173" s="24"/>
      <c r="I173" s="24"/>
      <c r="J173" s="24"/>
      <c r="K173" s="24" t="s">
        <v>61</v>
      </c>
      <c r="L173" s="25" t="s">
        <v>109</v>
      </c>
    </row>
    <row r="174" spans="1:14" ht="25.2" customHeight="1" x14ac:dyDescent="0.4">
      <c r="A174" s="26">
        <v>44082</v>
      </c>
      <c r="B174" s="26" t="s">
        <v>112</v>
      </c>
      <c r="C174" s="26"/>
      <c r="D174" s="26"/>
      <c r="E174" s="27"/>
      <c r="F174" s="56">
        <f>N174*N171/9</f>
        <v>11635.599999999999</v>
      </c>
      <c r="G174" s="27"/>
      <c r="H174" s="27"/>
      <c r="I174" s="27"/>
      <c r="J174" s="27"/>
      <c r="K174" s="27" t="s">
        <v>62</v>
      </c>
      <c r="L174" s="28" t="s">
        <v>111</v>
      </c>
      <c r="N174" s="1">
        <v>90</v>
      </c>
    </row>
    <row r="175" spans="1:14" ht="25.2" customHeight="1" x14ac:dyDescent="0.4">
      <c r="A175" s="697" t="s">
        <v>17</v>
      </c>
      <c r="B175" s="697"/>
      <c r="C175" s="155"/>
      <c r="D175" s="155"/>
      <c r="E175" s="55">
        <f>SUM(E172:E174)</f>
        <v>4800</v>
      </c>
      <c r="F175" s="57">
        <f>ROUNDDOWN(SUM(F172:F174),0)</f>
        <v>11635</v>
      </c>
      <c r="G175" s="55">
        <f>SUM(G172:G174)</f>
        <v>0</v>
      </c>
      <c r="H175" s="55">
        <f>SUM(H172:H174)</f>
        <v>0</v>
      </c>
      <c r="I175" s="55">
        <f>SUM(I172:I174)</f>
        <v>0</v>
      </c>
      <c r="J175" s="55">
        <f>SUM(J172:J174)</f>
        <v>0</v>
      </c>
      <c r="K175" s="55" t="s">
        <v>113</v>
      </c>
      <c r="L175" s="50" t="s">
        <v>108</v>
      </c>
    </row>
    <row r="176" spans="1:14" ht="25.2" customHeight="1" x14ac:dyDescent="0.4">
      <c r="A176" s="659" t="s">
        <v>18</v>
      </c>
      <c r="B176" s="659"/>
      <c r="C176" s="156"/>
      <c r="D176" s="156"/>
      <c r="E176" s="696">
        <f>SUM(E175:J175)</f>
        <v>16435</v>
      </c>
      <c r="F176" s="696"/>
      <c r="G176" s="696"/>
      <c r="H176" s="696"/>
      <c r="I176" s="696"/>
      <c r="J176" s="696"/>
      <c r="K176" s="52"/>
      <c r="L176" s="51"/>
    </row>
    <row r="178" spans="1:14" ht="25.2" customHeight="1" x14ac:dyDescent="0.4">
      <c r="A178" s="6" t="s">
        <v>0</v>
      </c>
      <c r="B178" s="6" t="s">
        <v>1</v>
      </c>
      <c r="C178" s="6"/>
      <c r="D178" s="6"/>
      <c r="E178" s="6" t="s">
        <v>115</v>
      </c>
      <c r="F178" s="6" t="s">
        <v>3</v>
      </c>
      <c r="G178" s="6" t="s">
        <v>4</v>
      </c>
      <c r="H178" s="6" t="s">
        <v>5</v>
      </c>
      <c r="I178" s="6" t="s">
        <v>4</v>
      </c>
      <c r="J178" s="6" t="s">
        <v>7</v>
      </c>
      <c r="K178" s="6" t="s">
        <v>60</v>
      </c>
      <c r="L178" s="6" t="s">
        <v>8</v>
      </c>
    </row>
    <row r="179" spans="1:14" ht="25.2" customHeight="1" x14ac:dyDescent="0.4">
      <c r="A179" s="20">
        <v>44102</v>
      </c>
      <c r="B179" s="20" t="s">
        <v>32</v>
      </c>
      <c r="C179" s="20"/>
      <c r="D179" s="20"/>
      <c r="E179" s="63">
        <v>6600</v>
      </c>
      <c r="F179" s="63"/>
      <c r="G179" s="63"/>
      <c r="H179" s="63"/>
      <c r="I179" s="63"/>
      <c r="J179" s="63"/>
      <c r="K179" s="63" t="s">
        <v>61</v>
      </c>
      <c r="L179" s="62" t="s">
        <v>116</v>
      </c>
    </row>
    <row r="180" spans="1:14" ht="25.2" customHeight="1" x14ac:dyDescent="0.4">
      <c r="A180" s="697" t="s">
        <v>17</v>
      </c>
      <c r="B180" s="697"/>
      <c r="C180" s="155"/>
      <c r="D180" s="155"/>
      <c r="E180" s="61">
        <f>SUM(E179:E179)</f>
        <v>6600</v>
      </c>
      <c r="F180" s="57">
        <f>ROUNDDOWN(SUM(F179:F179),0)</f>
        <v>0</v>
      </c>
      <c r="G180" s="61">
        <f>SUM(G179:G179)</f>
        <v>0</v>
      </c>
      <c r="H180" s="61">
        <f>SUM(H179:H179)</f>
        <v>0</v>
      </c>
      <c r="I180" s="61">
        <f>SUM(I179:I179)</f>
        <v>0</v>
      </c>
      <c r="J180" s="61">
        <f>SUM(J179:J179)</f>
        <v>0</v>
      </c>
      <c r="K180" s="61"/>
      <c r="L180" s="58"/>
    </row>
    <row r="181" spans="1:14" ht="25.2" customHeight="1" x14ac:dyDescent="0.4">
      <c r="A181" s="659" t="s">
        <v>18</v>
      </c>
      <c r="B181" s="659"/>
      <c r="C181" s="156"/>
      <c r="D181" s="156"/>
      <c r="E181" s="696">
        <f>SUM(E180:J180)</f>
        <v>6600</v>
      </c>
      <c r="F181" s="696"/>
      <c r="G181" s="696"/>
      <c r="H181" s="696"/>
      <c r="I181" s="696"/>
      <c r="J181" s="696"/>
      <c r="K181" s="60"/>
      <c r="L181" s="59"/>
    </row>
    <row r="183" spans="1:14" ht="25.2" customHeight="1" x14ac:dyDescent="0.4">
      <c r="A183" s="6" t="s">
        <v>0</v>
      </c>
      <c r="B183" s="6" t="s">
        <v>1</v>
      </c>
      <c r="C183" s="6"/>
      <c r="D183" s="6"/>
      <c r="E183" s="6" t="s">
        <v>115</v>
      </c>
      <c r="F183" s="6" t="s">
        <v>3</v>
      </c>
      <c r="G183" s="6" t="s">
        <v>4</v>
      </c>
      <c r="H183" s="6" t="s">
        <v>5</v>
      </c>
      <c r="I183" s="6" t="s">
        <v>4</v>
      </c>
      <c r="J183" s="6" t="s">
        <v>7</v>
      </c>
      <c r="K183" s="6" t="s">
        <v>60</v>
      </c>
      <c r="L183" s="6" t="s">
        <v>8</v>
      </c>
    </row>
    <row r="184" spans="1:14" ht="25.2" customHeight="1" x14ac:dyDescent="0.4">
      <c r="A184" s="20">
        <v>44112</v>
      </c>
      <c r="B184" s="20" t="s">
        <v>25</v>
      </c>
      <c r="C184" s="20"/>
      <c r="D184" s="20"/>
      <c r="E184" s="66">
        <v>9350</v>
      </c>
      <c r="F184" s="66"/>
      <c r="G184" s="66"/>
      <c r="H184" s="66"/>
      <c r="I184" s="66"/>
      <c r="J184" s="66"/>
      <c r="K184" s="66" t="s">
        <v>61</v>
      </c>
      <c r="L184" s="65" t="s">
        <v>117</v>
      </c>
    </row>
    <row r="185" spans="1:14" ht="25.2" customHeight="1" x14ac:dyDescent="0.4">
      <c r="A185" s="697" t="s">
        <v>17</v>
      </c>
      <c r="B185" s="697"/>
      <c r="C185" s="155"/>
      <c r="D185" s="155"/>
      <c r="E185" s="69">
        <f>SUM(E184:E184)</f>
        <v>9350</v>
      </c>
      <c r="F185" s="57">
        <f>ROUNDDOWN(SUM(F184:F184),0)</f>
        <v>0</v>
      </c>
      <c r="G185" s="69">
        <f>SUM(G184:G184)</f>
        <v>0</v>
      </c>
      <c r="H185" s="69">
        <f>SUM(H184:H184)</f>
        <v>0</v>
      </c>
      <c r="I185" s="69">
        <f>SUM(I184:I184)</f>
        <v>0</v>
      </c>
      <c r="J185" s="69">
        <f>SUM(J184:J184)</f>
        <v>0</v>
      </c>
      <c r="K185" s="69"/>
      <c r="L185" s="64"/>
    </row>
    <row r="186" spans="1:14" ht="25.2" customHeight="1" x14ac:dyDescent="0.4">
      <c r="A186" s="659" t="s">
        <v>18</v>
      </c>
      <c r="B186" s="659"/>
      <c r="C186" s="156"/>
      <c r="D186" s="156"/>
      <c r="E186" s="696">
        <f>SUM(E185:J185)</f>
        <v>9350</v>
      </c>
      <c r="F186" s="696"/>
      <c r="G186" s="696"/>
      <c r="H186" s="696"/>
      <c r="I186" s="696"/>
      <c r="J186" s="696"/>
      <c r="K186" s="68"/>
      <c r="L186" s="67" t="s">
        <v>118</v>
      </c>
    </row>
    <row r="188" spans="1:14" ht="25.2" customHeight="1" x14ac:dyDescent="0.4">
      <c r="A188" s="6" t="s">
        <v>0</v>
      </c>
      <c r="B188" s="6" t="s">
        <v>1</v>
      </c>
      <c r="C188" s="6"/>
      <c r="D188" s="6"/>
      <c r="E188" s="6" t="s">
        <v>74</v>
      </c>
      <c r="F188" s="6" t="s">
        <v>3</v>
      </c>
      <c r="G188" s="6" t="s">
        <v>4</v>
      </c>
      <c r="H188" s="6" t="s">
        <v>5</v>
      </c>
      <c r="I188" s="6" t="s">
        <v>4</v>
      </c>
      <c r="J188" s="6" t="s">
        <v>7</v>
      </c>
      <c r="K188" s="6" t="s">
        <v>60</v>
      </c>
      <c r="L188" s="6" t="s">
        <v>8</v>
      </c>
      <c r="N188" s="43"/>
    </row>
    <row r="189" spans="1:14" ht="25.2" customHeight="1" x14ac:dyDescent="0.4">
      <c r="A189" s="20">
        <v>44130</v>
      </c>
      <c r="B189" s="20" t="s">
        <v>144</v>
      </c>
      <c r="C189" s="20"/>
      <c r="D189" s="20"/>
      <c r="E189" s="72"/>
      <c r="F189" s="84"/>
      <c r="G189" s="72"/>
      <c r="H189" s="72"/>
      <c r="I189" s="72"/>
      <c r="J189" s="72">
        <v>16000</v>
      </c>
      <c r="K189" s="72" t="s">
        <v>80</v>
      </c>
      <c r="L189" s="71" t="s">
        <v>119</v>
      </c>
    </row>
    <row r="190" spans="1:14" ht="25.2" customHeight="1" x14ac:dyDescent="0.4">
      <c r="A190" s="20">
        <v>44141</v>
      </c>
      <c r="B190" s="20" t="s">
        <v>143</v>
      </c>
      <c r="C190" s="20"/>
      <c r="D190" s="20"/>
      <c r="E190" s="72">
        <v>2800</v>
      </c>
      <c r="F190" s="84"/>
      <c r="G190" s="72"/>
      <c r="H190" s="72"/>
      <c r="I190" s="72"/>
      <c r="J190" s="72"/>
      <c r="K190" s="72" t="s">
        <v>120</v>
      </c>
      <c r="L190" s="71" t="s">
        <v>121</v>
      </c>
    </row>
    <row r="191" spans="1:14" ht="25.2" customHeight="1" x14ac:dyDescent="0.4">
      <c r="A191" s="23">
        <v>44141</v>
      </c>
      <c r="B191" s="23" t="s">
        <v>143</v>
      </c>
      <c r="C191" s="23"/>
      <c r="D191" s="23"/>
      <c r="E191" s="24">
        <v>1000</v>
      </c>
      <c r="F191" s="85"/>
      <c r="G191" s="24"/>
      <c r="H191" s="24"/>
      <c r="I191" s="24"/>
      <c r="J191" s="24"/>
      <c r="K191" s="24" t="s">
        <v>120</v>
      </c>
      <c r="L191" s="25" t="s">
        <v>122</v>
      </c>
    </row>
    <row r="192" spans="1:14" ht="25.2" customHeight="1" x14ac:dyDescent="0.4">
      <c r="A192" s="23">
        <v>44141</v>
      </c>
      <c r="B192" s="23" t="s">
        <v>143</v>
      </c>
      <c r="C192" s="23"/>
      <c r="D192" s="23"/>
      <c r="E192" s="24">
        <v>1000</v>
      </c>
      <c r="F192" s="85"/>
      <c r="G192" s="24"/>
      <c r="H192" s="24"/>
      <c r="I192" s="24"/>
      <c r="J192" s="24"/>
      <c r="K192" s="24" t="s">
        <v>120</v>
      </c>
      <c r="L192" s="25" t="s">
        <v>122</v>
      </c>
    </row>
    <row r="193" spans="1:15" ht="25.2" customHeight="1" x14ac:dyDescent="0.4">
      <c r="A193" s="23">
        <v>44141</v>
      </c>
      <c r="B193" s="23" t="s">
        <v>143</v>
      </c>
      <c r="C193" s="23"/>
      <c r="D193" s="23"/>
      <c r="E193" s="24">
        <v>1400</v>
      </c>
      <c r="F193" s="85"/>
      <c r="G193" s="24"/>
      <c r="H193" s="24"/>
      <c r="I193" s="24"/>
      <c r="J193" s="24"/>
      <c r="K193" s="24" t="s">
        <v>120</v>
      </c>
      <c r="L193" s="25" t="s">
        <v>123</v>
      </c>
      <c r="N193" s="1">
        <v>1154.45</v>
      </c>
    </row>
    <row r="194" spans="1:15" ht="25.2" customHeight="1" x14ac:dyDescent="0.4">
      <c r="A194" s="26">
        <v>44141</v>
      </c>
      <c r="B194" s="26" t="s">
        <v>143</v>
      </c>
      <c r="C194" s="26"/>
      <c r="D194" s="26"/>
      <c r="E194" s="27">
        <v>2100</v>
      </c>
      <c r="F194" s="86"/>
      <c r="G194" s="27"/>
      <c r="H194" s="27"/>
      <c r="I194" s="27"/>
      <c r="J194" s="27"/>
      <c r="K194" s="27" t="s">
        <v>120</v>
      </c>
      <c r="L194" s="28" t="s">
        <v>124</v>
      </c>
    </row>
    <row r="195" spans="1:15" ht="25.2" customHeight="1" x14ac:dyDescent="0.4">
      <c r="A195" s="82">
        <v>44141</v>
      </c>
      <c r="B195" s="82" t="s">
        <v>143</v>
      </c>
      <c r="C195" s="82"/>
      <c r="D195" s="82"/>
      <c r="E195" s="73"/>
      <c r="F195" s="83">
        <f>O195*N195/9</f>
        <v>17387.386666666669</v>
      </c>
      <c r="G195" s="73"/>
      <c r="H195" s="73"/>
      <c r="I195" s="73"/>
      <c r="J195" s="73"/>
      <c r="K195" s="73" t="s">
        <v>126</v>
      </c>
      <c r="L195" s="70" t="s">
        <v>127</v>
      </c>
      <c r="N195" s="1">
        <v>1133.96</v>
      </c>
      <c r="O195" s="1">
        <v>138</v>
      </c>
    </row>
    <row r="196" spans="1:15" ht="25.2" customHeight="1" x14ac:dyDescent="0.4">
      <c r="A196" s="697" t="s">
        <v>17</v>
      </c>
      <c r="B196" s="697"/>
      <c r="C196" s="155"/>
      <c r="D196" s="155"/>
      <c r="E196" s="73">
        <f>SUM(E189:E195)</f>
        <v>8300</v>
      </c>
      <c r="F196" s="83">
        <f>ROUNDDOWN(SUM(F189:F195),0)</f>
        <v>17387</v>
      </c>
      <c r="G196" s="73">
        <f>SUM(G179:G195)</f>
        <v>0</v>
      </c>
      <c r="H196" s="73">
        <f>SUM(H179:H195)</f>
        <v>0</v>
      </c>
      <c r="I196" s="73">
        <f>SUM(I187:I195)</f>
        <v>0</v>
      </c>
      <c r="J196" s="73">
        <f>SUM(J187:J195)</f>
        <v>16000</v>
      </c>
      <c r="K196" s="73" t="s">
        <v>64</v>
      </c>
      <c r="L196" s="70" t="s">
        <v>125</v>
      </c>
    </row>
    <row r="197" spans="1:15" ht="25.2" customHeight="1" x14ac:dyDescent="0.4">
      <c r="A197" s="20">
        <v>44152</v>
      </c>
      <c r="B197" s="20" t="s">
        <v>146</v>
      </c>
      <c r="C197" s="20"/>
      <c r="D197" s="20"/>
      <c r="E197" s="72">
        <v>11800</v>
      </c>
      <c r="F197" s="84"/>
      <c r="G197" s="72"/>
      <c r="H197" s="72"/>
      <c r="I197" s="72"/>
      <c r="J197" s="72"/>
      <c r="K197" s="72" t="s">
        <v>128</v>
      </c>
      <c r="L197" s="71" t="s">
        <v>130</v>
      </c>
    </row>
    <row r="198" spans="1:15" ht="25.2" customHeight="1" x14ac:dyDescent="0.4">
      <c r="A198" s="26">
        <v>44152</v>
      </c>
      <c r="B198" s="26" t="s">
        <v>145</v>
      </c>
      <c r="C198" s="26"/>
      <c r="D198" s="26"/>
      <c r="E198" s="27">
        <v>4000</v>
      </c>
      <c r="F198" s="86"/>
      <c r="G198" s="27"/>
      <c r="H198" s="27"/>
      <c r="I198" s="27"/>
      <c r="J198" s="27"/>
      <c r="K198" s="27" t="s">
        <v>128</v>
      </c>
      <c r="L198" s="28" t="s">
        <v>131</v>
      </c>
    </row>
    <row r="199" spans="1:15" ht="25.2" customHeight="1" x14ac:dyDescent="0.4">
      <c r="A199" s="82">
        <v>44152</v>
      </c>
      <c r="B199" s="82" t="s">
        <v>145</v>
      </c>
      <c r="C199" s="82"/>
      <c r="D199" s="82"/>
      <c r="E199" s="73"/>
      <c r="F199" s="83"/>
      <c r="G199" s="73"/>
      <c r="H199" s="73"/>
      <c r="I199" s="73">
        <v>40000</v>
      </c>
      <c r="J199" s="73"/>
      <c r="K199" s="73" t="s">
        <v>134</v>
      </c>
      <c r="L199" s="70"/>
    </row>
    <row r="200" spans="1:15" ht="25.2" customHeight="1" x14ac:dyDescent="0.4">
      <c r="A200" s="20">
        <v>44152</v>
      </c>
      <c r="B200" s="20" t="s">
        <v>145</v>
      </c>
      <c r="C200" s="20"/>
      <c r="D200" s="20"/>
      <c r="E200" s="72"/>
      <c r="F200" s="84"/>
      <c r="G200" s="72"/>
      <c r="H200" s="72"/>
      <c r="I200" s="72"/>
      <c r="J200" s="72">
        <v>8000</v>
      </c>
      <c r="K200" s="72" t="s">
        <v>137</v>
      </c>
      <c r="L200" s="71" t="s">
        <v>135</v>
      </c>
    </row>
    <row r="201" spans="1:15" ht="25.2" customHeight="1" x14ac:dyDescent="0.4">
      <c r="A201" s="26">
        <v>44152</v>
      </c>
      <c r="B201" s="26" t="s">
        <v>145</v>
      </c>
      <c r="C201" s="26"/>
      <c r="D201" s="26"/>
      <c r="E201" s="27"/>
      <c r="F201" s="86"/>
      <c r="G201" s="27"/>
      <c r="H201" s="27"/>
      <c r="I201" s="27"/>
      <c r="J201" s="27">
        <v>8000</v>
      </c>
      <c r="K201" s="27" t="s">
        <v>138</v>
      </c>
      <c r="L201" s="28" t="s">
        <v>136</v>
      </c>
    </row>
    <row r="202" spans="1:15" ht="25.2" customHeight="1" x14ac:dyDescent="0.4">
      <c r="A202" s="20">
        <v>44153</v>
      </c>
      <c r="B202" s="20" t="s">
        <v>145</v>
      </c>
      <c r="C202" s="20"/>
      <c r="D202" s="20"/>
      <c r="E202" s="72">
        <v>10800</v>
      </c>
      <c r="F202" s="84"/>
      <c r="G202" s="72"/>
      <c r="H202" s="72"/>
      <c r="I202" s="72"/>
      <c r="J202" s="72"/>
      <c r="K202" s="72" t="s">
        <v>129</v>
      </c>
      <c r="L202" s="71" t="s">
        <v>132</v>
      </c>
    </row>
    <row r="203" spans="1:15" ht="25.2" customHeight="1" x14ac:dyDescent="0.4">
      <c r="A203" s="26">
        <v>44153</v>
      </c>
      <c r="B203" s="26" t="s">
        <v>145</v>
      </c>
      <c r="C203" s="26"/>
      <c r="D203" s="26"/>
      <c r="E203" s="27">
        <v>4200</v>
      </c>
      <c r="F203" s="86"/>
      <c r="G203" s="27"/>
      <c r="H203" s="27"/>
      <c r="I203" s="27"/>
      <c r="J203" s="27"/>
      <c r="K203" s="27" t="s">
        <v>129</v>
      </c>
      <c r="L203" s="28" t="s">
        <v>133</v>
      </c>
    </row>
    <row r="204" spans="1:15" ht="25.2" customHeight="1" x14ac:dyDescent="0.4">
      <c r="A204" s="82">
        <v>44153</v>
      </c>
      <c r="B204" s="82" t="s">
        <v>145</v>
      </c>
      <c r="C204" s="82"/>
      <c r="D204" s="82"/>
      <c r="E204" s="73"/>
      <c r="F204" s="83"/>
      <c r="G204" s="73"/>
      <c r="H204" s="73"/>
      <c r="I204" s="73"/>
      <c r="J204" s="73">
        <v>7800</v>
      </c>
      <c r="K204" s="73" t="s">
        <v>139</v>
      </c>
      <c r="L204" s="70" t="s">
        <v>140</v>
      </c>
    </row>
    <row r="205" spans="1:15" ht="25.2" customHeight="1" x14ac:dyDescent="0.4">
      <c r="A205" s="23">
        <v>44153</v>
      </c>
      <c r="B205" s="23" t="s">
        <v>145</v>
      </c>
      <c r="C205" s="23"/>
      <c r="D205" s="23"/>
      <c r="E205" s="24"/>
      <c r="F205" s="85">
        <f>O205*N205/9</f>
        <v>69297.555555555562</v>
      </c>
      <c r="G205" s="24"/>
      <c r="H205" s="24"/>
      <c r="I205" s="24"/>
      <c r="J205" s="24"/>
      <c r="K205" s="24" t="s">
        <v>141</v>
      </c>
      <c r="L205" s="25" t="s">
        <v>142</v>
      </c>
      <c r="N205" s="1">
        <v>1133.96</v>
      </c>
      <c r="O205" s="1">
        <v>550</v>
      </c>
    </row>
    <row r="206" spans="1:15" ht="25.2" customHeight="1" x14ac:dyDescent="0.4">
      <c r="A206" s="697" t="s">
        <v>17</v>
      </c>
      <c r="B206" s="697"/>
      <c r="C206" s="155"/>
      <c r="D206" s="155"/>
      <c r="E206" s="73">
        <f>SUM(E197:E205)</f>
        <v>30800</v>
      </c>
      <c r="F206" s="83">
        <f>ROUNDDOWN(SUM(F197:F205),0)</f>
        <v>69297</v>
      </c>
      <c r="G206" s="73">
        <f>SUM(G189:G205)</f>
        <v>0</v>
      </c>
      <c r="H206" s="73">
        <f>SUM(H189:H205)</f>
        <v>0</v>
      </c>
      <c r="I206" s="73">
        <f>SUM(I197:I205)</f>
        <v>40000</v>
      </c>
      <c r="J206" s="73">
        <f>SUM(J197:J205)</f>
        <v>23800</v>
      </c>
      <c r="K206" s="73" t="s">
        <v>64</v>
      </c>
      <c r="L206" s="70" t="s">
        <v>147</v>
      </c>
    </row>
    <row r="207" spans="1:15" ht="25.2" customHeight="1" x14ac:dyDescent="0.4">
      <c r="A207" s="659" t="s">
        <v>18</v>
      </c>
      <c r="B207" s="659"/>
      <c r="C207" s="156"/>
      <c r="D207" s="156"/>
      <c r="E207" s="696">
        <f>SUM(E196:J196,E206:J206)</f>
        <v>205584</v>
      </c>
      <c r="F207" s="696"/>
      <c r="G207" s="696"/>
      <c r="H207" s="696"/>
      <c r="I207" s="696"/>
      <c r="J207" s="696"/>
      <c r="K207" s="81"/>
      <c r="L207" s="80"/>
      <c r="M207" s="93" t="s">
        <v>149</v>
      </c>
    </row>
    <row r="209" spans="1:13" ht="25.2" customHeight="1" x14ac:dyDescent="0.4">
      <c r="A209" s="6" t="s">
        <v>0</v>
      </c>
      <c r="B209" s="6" t="s">
        <v>1</v>
      </c>
      <c r="C209" s="6"/>
      <c r="D209" s="6"/>
      <c r="E209" s="6" t="s">
        <v>115</v>
      </c>
      <c r="F209" s="6" t="s">
        <v>3</v>
      </c>
      <c r="G209" s="6" t="s">
        <v>4</v>
      </c>
      <c r="H209" s="6" t="s">
        <v>5</v>
      </c>
      <c r="I209" s="6" t="s">
        <v>4</v>
      </c>
      <c r="J209" s="6" t="s">
        <v>7</v>
      </c>
      <c r="K209" s="6" t="s">
        <v>60</v>
      </c>
      <c r="L209" s="6" t="s">
        <v>8</v>
      </c>
    </row>
    <row r="210" spans="1:13" ht="25.2" customHeight="1" x14ac:dyDescent="0.4">
      <c r="A210" s="20">
        <v>44158</v>
      </c>
      <c r="B210" s="20" t="s">
        <v>10</v>
      </c>
      <c r="C210" s="20"/>
      <c r="D210" s="20"/>
      <c r="E210" s="78"/>
      <c r="F210" s="78"/>
      <c r="G210" s="78"/>
      <c r="H210" s="78"/>
      <c r="I210" s="78"/>
      <c r="J210" s="78">
        <v>14000</v>
      </c>
      <c r="K210" s="78" t="s">
        <v>61</v>
      </c>
      <c r="L210" s="77" t="s">
        <v>148</v>
      </c>
    </row>
    <row r="211" spans="1:13" ht="25.2" customHeight="1" x14ac:dyDescent="0.4">
      <c r="A211" s="697" t="s">
        <v>17</v>
      </c>
      <c r="B211" s="697"/>
      <c r="C211" s="155"/>
      <c r="D211" s="155"/>
      <c r="E211" s="79">
        <f>SUM(E210:E210)</f>
        <v>0</v>
      </c>
      <c r="F211" s="57">
        <f>ROUNDDOWN(SUM(F210:F210),0)</f>
        <v>0</v>
      </c>
      <c r="G211" s="79">
        <f>SUM(G210:G210)</f>
        <v>0</v>
      </c>
      <c r="H211" s="79">
        <f>SUM(H210:H210)</f>
        <v>0</v>
      </c>
      <c r="I211" s="79">
        <f>SUM(I210:I210)</f>
        <v>0</v>
      </c>
      <c r="J211" s="79">
        <f>SUM(J210:J210)</f>
        <v>14000</v>
      </c>
      <c r="K211" s="79"/>
      <c r="L211" s="74"/>
    </row>
    <row r="212" spans="1:13" ht="25.2" customHeight="1" x14ac:dyDescent="0.4">
      <c r="A212" s="659" t="s">
        <v>18</v>
      </c>
      <c r="B212" s="659"/>
      <c r="C212" s="156"/>
      <c r="D212" s="156"/>
      <c r="E212" s="696">
        <f>SUM(E211:J211)</f>
        <v>14000</v>
      </c>
      <c r="F212" s="696"/>
      <c r="G212" s="696"/>
      <c r="H212" s="696"/>
      <c r="I212" s="696"/>
      <c r="J212" s="696"/>
      <c r="K212" s="76"/>
      <c r="L212" s="75"/>
      <c r="M212" s="93" t="s">
        <v>149</v>
      </c>
    </row>
    <row r="214" spans="1:13" ht="25.2" customHeight="1" x14ac:dyDescent="0.4">
      <c r="A214" s="6" t="s">
        <v>0</v>
      </c>
      <c r="B214" s="6" t="s">
        <v>1</v>
      </c>
      <c r="C214" s="6"/>
      <c r="D214" s="6"/>
      <c r="E214" s="6" t="s">
        <v>115</v>
      </c>
      <c r="F214" s="6" t="s">
        <v>3</v>
      </c>
      <c r="G214" s="6" t="s">
        <v>4</v>
      </c>
      <c r="H214" s="6" t="s">
        <v>5</v>
      </c>
      <c r="I214" s="6" t="s">
        <v>4</v>
      </c>
      <c r="J214" s="6" t="s">
        <v>7</v>
      </c>
      <c r="K214" s="6" t="s">
        <v>60</v>
      </c>
      <c r="L214" s="6" t="s">
        <v>8</v>
      </c>
    </row>
    <row r="215" spans="1:13" ht="25.2" customHeight="1" x14ac:dyDescent="0.4">
      <c r="A215" s="20">
        <v>44169</v>
      </c>
      <c r="B215" s="20" t="s">
        <v>146</v>
      </c>
      <c r="C215" s="20"/>
      <c r="D215" s="20"/>
      <c r="E215" s="91"/>
      <c r="F215" s="91"/>
      <c r="G215" s="91"/>
      <c r="H215" s="91"/>
      <c r="I215" s="91"/>
      <c r="J215" s="91">
        <v>8000</v>
      </c>
      <c r="K215" s="91" t="s">
        <v>61</v>
      </c>
      <c r="L215" s="90" t="s">
        <v>150</v>
      </c>
    </row>
    <row r="216" spans="1:13" ht="25.2" customHeight="1" x14ac:dyDescent="0.4">
      <c r="A216" s="697" t="s">
        <v>17</v>
      </c>
      <c r="B216" s="697"/>
      <c r="C216" s="155"/>
      <c r="D216" s="155"/>
      <c r="E216" s="92">
        <f>SUM(E215:E215)</f>
        <v>0</v>
      </c>
      <c r="F216" s="57">
        <f>ROUNDDOWN(SUM(F215:F215),0)</f>
        <v>0</v>
      </c>
      <c r="G216" s="92">
        <f>SUM(G215:G215)</f>
        <v>0</v>
      </c>
      <c r="H216" s="92">
        <f>SUM(H215:H215)</f>
        <v>0</v>
      </c>
      <c r="I216" s="92">
        <f>SUM(I215:I215)</f>
        <v>0</v>
      </c>
      <c r="J216" s="92">
        <f>SUM(J215:J215)</f>
        <v>8000</v>
      </c>
      <c r="K216" s="92"/>
      <c r="L216" s="87"/>
    </row>
    <row r="217" spans="1:13" ht="25.2" customHeight="1" x14ac:dyDescent="0.4">
      <c r="A217" s="659" t="s">
        <v>18</v>
      </c>
      <c r="B217" s="659"/>
      <c r="C217" s="156"/>
      <c r="D217" s="156"/>
      <c r="E217" s="696">
        <f>SUM(E216:J216)</f>
        <v>8000</v>
      </c>
      <c r="F217" s="696"/>
      <c r="G217" s="696"/>
      <c r="H217" s="696"/>
      <c r="I217" s="696"/>
      <c r="J217" s="696"/>
      <c r="K217" s="89"/>
      <c r="L217" s="88"/>
      <c r="M217" s="93" t="s">
        <v>149</v>
      </c>
    </row>
    <row r="219" spans="1:13" ht="25.2" customHeight="1" x14ac:dyDescent="0.4">
      <c r="A219" s="6" t="s">
        <v>0</v>
      </c>
      <c r="B219" s="6" t="s">
        <v>1</v>
      </c>
      <c r="C219" s="6"/>
      <c r="D219" s="6"/>
      <c r="E219" s="6" t="s">
        <v>115</v>
      </c>
      <c r="F219" s="6" t="s">
        <v>3</v>
      </c>
      <c r="G219" s="6" t="s">
        <v>4</v>
      </c>
      <c r="H219" s="6" t="s">
        <v>5</v>
      </c>
      <c r="I219" s="6" t="s">
        <v>4</v>
      </c>
      <c r="J219" s="6" t="s">
        <v>7</v>
      </c>
      <c r="K219" s="6" t="s">
        <v>60</v>
      </c>
      <c r="L219" s="6" t="s">
        <v>8</v>
      </c>
    </row>
    <row r="220" spans="1:13" ht="25.2" customHeight="1" x14ac:dyDescent="0.4">
      <c r="A220" s="20">
        <v>44178</v>
      </c>
      <c r="B220" s="20" t="s">
        <v>30</v>
      </c>
      <c r="C220" s="20"/>
      <c r="D220" s="20"/>
      <c r="E220" s="99"/>
      <c r="F220" s="99"/>
      <c r="G220" s="99"/>
      <c r="H220" s="99"/>
      <c r="I220" s="99"/>
      <c r="J220" s="99">
        <v>14000</v>
      </c>
      <c r="K220" s="99" t="s">
        <v>61</v>
      </c>
      <c r="L220" s="98" t="s">
        <v>151</v>
      </c>
    </row>
    <row r="221" spans="1:13" ht="25.2" customHeight="1" x14ac:dyDescent="0.4">
      <c r="A221" s="697" t="s">
        <v>17</v>
      </c>
      <c r="B221" s="697"/>
      <c r="C221" s="155"/>
      <c r="D221" s="155"/>
      <c r="E221" s="97">
        <f>SUM(E220:E220)</f>
        <v>0</v>
      </c>
      <c r="F221" s="57">
        <f>ROUNDDOWN(SUM(F220:F220),0)</f>
        <v>0</v>
      </c>
      <c r="G221" s="97">
        <f>SUM(G220:G220)</f>
        <v>0</v>
      </c>
      <c r="H221" s="97">
        <f>SUM(H220:H220)</f>
        <v>0</v>
      </c>
      <c r="I221" s="97">
        <f>SUM(I220:I220)</f>
        <v>0</v>
      </c>
      <c r="J221" s="97">
        <f>SUM(J220:J220)</f>
        <v>14000</v>
      </c>
      <c r="K221" s="97"/>
      <c r="L221" s="94"/>
    </row>
    <row r="222" spans="1:13" ht="25.2" customHeight="1" x14ac:dyDescent="0.4">
      <c r="A222" s="659" t="s">
        <v>18</v>
      </c>
      <c r="B222" s="659"/>
      <c r="C222" s="156"/>
      <c r="D222" s="156"/>
      <c r="E222" s="696">
        <f>SUM(E221:J221)</f>
        <v>14000</v>
      </c>
      <c r="F222" s="696"/>
      <c r="G222" s="696"/>
      <c r="H222" s="696"/>
      <c r="I222" s="696"/>
      <c r="J222" s="696"/>
      <c r="K222" s="96"/>
      <c r="L222" s="95"/>
      <c r="M222" s="93" t="s">
        <v>149</v>
      </c>
    </row>
    <row r="224" spans="1:13" ht="25.2" customHeight="1" x14ac:dyDescent="0.4">
      <c r="A224" s="6" t="s">
        <v>0</v>
      </c>
      <c r="B224" s="6" t="s">
        <v>1</v>
      </c>
      <c r="C224" s="6"/>
      <c r="D224" s="6"/>
      <c r="E224" s="6" t="s">
        <v>74</v>
      </c>
      <c r="F224" s="6" t="s">
        <v>3</v>
      </c>
      <c r="G224" s="6" t="s">
        <v>4</v>
      </c>
      <c r="H224" s="6" t="s">
        <v>5</v>
      </c>
      <c r="I224" s="6" t="s">
        <v>4</v>
      </c>
      <c r="J224" s="6" t="s">
        <v>7</v>
      </c>
      <c r="K224" s="6" t="s">
        <v>60</v>
      </c>
      <c r="L224" s="6" t="s">
        <v>8</v>
      </c>
    </row>
    <row r="225" spans="1:15" ht="25.2" customHeight="1" x14ac:dyDescent="0.4">
      <c r="A225" s="20">
        <v>44182</v>
      </c>
      <c r="B225" s="20" t="s">
        <v>144</v>
      </c>
      <c r="C225" s="20"/>
      <c r="D225" s="20"/>
      <c r="E225" s="104"/>
      <c r="F225" s="104"/>
      <c r="G225" s="104"/>
      <c r="H225" s="104"/>
      <c r="I225" s="104"/>
      <c r="J225" s="104">
        <v>14000</v>
      </c>
      <c r="K225" s="104" t="s">
        <v>61</v>
      </c>
      <c r="L225" s="103" t="s">
        <v>157</v>
      </c>
    </row>
    <row r="226" spans="1:15" ht="25.2" customHeight="1" x14ac:dyDescent="0.4">
      <c r="A226" s="20">
        <v>44182</v>
      </c>
      <c r="B226" s="20" t="s">
        <v>144</v>
      </c>
      <c r="C226" s="20"/>
      <c r="D226" s="20"/>
      <c r="E226" s="104"/>
      <c r="F226" s="104"/>
      <c r="G226" s="104"/>
      <c r="H226" s="104"/>
      <c r="I226" s="104"/>
      <c r="J226" s="104">
        <v>600</v>
      </c>
      <c r="K226" s="104" t="s">
        <v>152</v>
      </c>
      <c r="L226" s="103" t="s">
        <v>157</v>
      </c>
    </row>
    <row r="227" spans="1:15" ht="25.2" customHeight="1" x14ac:dyDescent="0.4">
      <c r="A227" s="82">
        <v>44182</v>
      </c>
      <c r="B227" s="82" t="s">
        <v>144</v>
      </c>
      <c r="C227" s="82"/>
      <c r="D227" s="82"/>
      <c r="E227" s="105"/>
      <c r="F227" s="105"/>
      <c r="G227" s="105"/>
      <c r="H227" s="105"/>
      <c r="I227" s="105"/>
      <c r="J227" s="105">
        <v>600</v>
      </c>
      <c r="K227" s="104" t="s">
        <v>153</v>
      </c>
      <c r="L227" s="100" t="s">
        <v>157</v>
      </c>
    </row>
    <row r="228" spans="1:15" ht="25.2" customHeight="1" x14ac:dyDescent="0.4">
      <c r="A228" s="82">
        <v>44182</v>
      </c>
      <c r="B228" s="82" t="s">
        <v>144</v>
      </c>
      <c r="C228" s="26"/>
      <c r="D228" s="26"/>
      <c r="E228" s="27"/>
      <c r="F228" s="83">
        <f>O228*N228/9</f>
        <v>11800.124033613443</v>
      </c>
      <c r="G228" s="27"/>
      <c r="H228" s="27"/>
      <c r="I228" s="27"/>
      <c r="J228" s="27"/>
      <c r="K228" s="104" t="s">
        <v>154</v>
      </c>
      <c r="L228" s="28" t="s">
        <v>162</v>
      </c>
      <c r="N228" s="1">
        <v>94.856302521008402</v>
      </c>
      <c r="O228" s="43">
        <v>1119.5999999999999</v>
      </c>
    </row>
    <row r="229" spans="1:15" ht="25.2" customHeight="1" x14ac:dyDescent="0.4">
      <c r="A229" s="82">
        <v>44182</v>
      </c>
      <c r="B229" s="82" t="s">
        <v>144</v>
      </c>
      <c r="C229" s="26"/>
      <c r="D229" s="26"/>
      <c r="E229" s="27">
        <v>2600</v>
      </c>
      <c r="F229" s="27"/>
      <c r="G229" s="27"/>
      <c r="H229" s="27"/>
      <c r="I229" s="27"/>
      <c r="J229" s="27"/>
      <c r="K229" s="104" t="s">
        <v>155</v>
      </c>
      <c r="L229" s="28" t="s">
        <v>160</v>
      </c>
    </row>
    <row r="230" spans="1:15" ht="25.2" customHeight="1" x14ac:dyDescent="0.4">
      <c r="A230" s="82">
        <v>44182</v>
      </c>
      <c r="B230" s="82" t="s">
        <v>144</v>
      </c>
      <c r="C230" s="26"/>
      <c r="D230" s="26"/>
      <c r="E230" s="27">
        <v>2200</v>
      </c>
      <c r="F230" s="27"/>
      <c r="G230" s="27"/>
      <c r="H230" s="27"/>
      <c r="I230" s="27"/>
      <c r="J230" s="27"/>
      <c r="K230" s="104" t="s">
        <v>156</v>
      </c>
      <c r="L230" s="28" t="s">
        <v>161</v>
      </c>
    </row>
    <row r="231" spans="1:15" ht="25.2" customHeight="1" x14ac:dyDescent="0.4">
      <c r="A231" s="697" t="s">
        <v>17</v>
      </c>
      <c r="B231" s="697"/>
      <c r="C231" s="155"/>
      <c r="D231" s="155"/>
      <c r="E231" s="105">
        <f>SUM(E225:E230)</f>
        <v>4800</v>
      </c>
      <c r="F231" s="83">
        <f>ROUNDDOWN(SUM(F225:F230),0)</f>
        <v>11800</v>
      </c>
      <c r="G231" s="105">
        <f>SUM(G225:G225)</f>
        <v>0</v>
      </c>
      <c r="H231" s="105">
        <f>SUM(H225:H225)</f>
        <v>0</v>
      </c>
      <c r="I231" s="105">
        <f>SUM(I225:I230)</f>
        <v>0</v>
      </c>
      <c r="J231" s="105">
        <f>SUM(J225:J230)</f>
        <v>15200</v>
      </c>
      <c r="K231" s="104" t="s">
        <v>159</v>
      </c>
      <c r="L231" s="100" t="s">
        <v>158</v>
      </c>
    </row>
    <row r="232" spans="1:15" ht="25.2" customHeight="1" x14ac:dyDescent="0.4">
      <c r="A232" s="659" t="s">
        <v>18</v>
      </c>
      <c r="B232" s="659"/>
      <c r="C232" s="156"/>
      <c r="D232" s="156"/>
      <c r="E232" s="696">
        <f>SUM(E231:J231)</f>
        <v>31800</v>
      </c>
      <c r="F232" s="696"/>
      <c r="G232" s="696"/>
      <c r="H232" s="696"/>
      <c r="I232" s="696"/>
      <c r="J232" s="696"/>
      <c r="K232" s="102"/>
      <c r="L232" s="101"/>
      <c r="M232" s="93" t="s">
        <v>149</v>
      </c>
    </row>
    <row r="234" spans="1:15" ht="25.2" customHeight="1" x14ac:dyDescent="0.4">
      <c r="A234" s="6" t="s">
        <v>0</v>
      </c>
      <c r="B234" s="6" t="s">
        <v>1</v>
      </c>
      <c r="C234" s="6"/>
      <c r="D234" s="6"/>
      <c r="E234" s="6" t="s">
        <v>74</v>
      </c>
      <c r="F234" s="6" t="s">
        <v>3</v>
      </c>
      <c r="G234" s="6" t="s">
        <v>4</v>
      </c>
      <c r="H234" s="6" t="s">
        <v>5</v>
      </c>
      <c r="I234" s="6" t="s">
        <v>4</v>
      </c>
      <c r="J234" s="6" t="s">
        <v>7</v>
      </c>
      <c r="K234" s="6" t="s">
        <v>60</v>
      </c>
      <c r="L234" s="6" t="s">
        <v>8</v>
      </c>
    </row>
    <row r="235" spans="1:15" ht="25.2" customHeight="1" x14ac:dyDescent="0.4">
      <c r="A235" s="20">
        <v>44186</v>
      </c>
      <c r="B235" s="20" t="s">
        <v>144</v>
      </c>
      <c r="C235" s="20"/>
      <c r="D235" s="20"/>
      <c r="E235" s="111"/>
      <c r="F235" s="111"/>
      <c r="G235" s="111"/>
      <c r="H235" s="111"/>
      <c r="I235" s="111"/>
      <c r="J235" s="111">
        <v>7000</v>
      </c>
      <c r="K235" s="111" t="s">
        <v>61</v>
      </c>
      <c r="L235" s="110" t="s">
        <v>150</v>
      </c>
    </row>
    <row r="236" spans="1:15" ht="25.2" customHeight="1" x14ac:dyDescent="0.4">
      <c r="A236" s="82">
        <v>44186</v>
      </c>
      <c r="B236" s="82" t="s">
        <v>144</v>
      </c>
      <c r="C236" s="82"/>
      <c r="D236" s="82"/>
      <c r="E236" s="109"/>
      <c r="F236" s="83">
        <f>O236*N236/9</f>
        <v>11800.583999999999</v>
      </c>
      <c r="G236" s="109"/>
      <c r="H236" s="109"/>
      <c r="I236" s="109"/>
      <c r="J236" s="109"/>
      <c r="K236" s="109" t="s">
        <v>163</v>
      </c>
      <c r="L236" s="106" t="s">
        <v>167</v>
      </c>
      <c r="N236" s="1">
        <v>94.86</v>
      </c>
      <c r="O236" s="43">
        <v>1119.5999999999999</v>
      </c>
    </row>
    <row r="237" spans="1:15" ht="25.2" customHeight="1" x14ac:dyDescent="0.4">
      <c r="A237" s="20">
        <v>44186</v>
      </c>
      <c r="B237" s="82" t="s">
        <v>144</v>
      </c>
      <c r="C237" s="26"/>
      <c r="D237" s="26"/>
      <c r="E237" s="27">
        <v>2600</v>
      </c>
      <c r="F237" s="27"/>
      <c r="G237" s="27"/>
      <c r="H237" s="27"/>
      <c r="I237" s="27"/>
      <c r="J237" s="27"/>
      <c r="K237" s="111" t="s">
        <v>164</v>
      </c>
      <c r="L237" s="28" t="s">
        <v>160</v>
      </c>
    </row>
    <row r="238" spans="1:15" ht="25.2" customHeight="1" x14ac:dyDescent="0.4">
      <c r="A238" s="20">
        <v>44186</v>
      </c>
      <c r="B238" s="82" t="s">
        <v>144</v>
      </c>
      <c r="C238" s="26"/>
      <c r="D238" s="26"/>
      <c r="E238" s="27">
        <v>2600</v>
      </c>
      <c r="F238" s="27"/>
      <c r="G238" s="27"/>
      <c r="H238" s="27"/>
      <c r="I238" s="27"/>
      <c r="J238" s="27"/>
      <c r="K238" s="111" t="s">
        <v>165</v>
      </c>
      <c r="L238" s="28" t="s">
        <v>161</v>
      </c>
    </row>
    <row r="239" spans="1:15" ht="25.2" customHeight="1" x14ac:dyDescent="0.4">
      <c r="A239" s="697" t="s">
        <v>17</v>
      </c>
      <c r="B239" s="697"/>
      <c r="C239" s="155"/>
      <c r="D239" s="155"/>
      <c r="E239" s="109">
        <f>SUM(E235:E238)</f>
        <v>5200</v>
      </c>
      <c r="F239" s="83">
        <f>ROUNDDOWN(SUM(F235:F238),0)</f>
        <v>11800</v>
      </c>
      <c r="G239" s="109">
        <f>SUM(G235:G235)</f>
        <v>0</v>
      </c>
      <c r="H239" s="109">
        <f>SUM(H235:H235)</f>
        <v>0</v>
      </c>
      <c r="I239" s="109">
        <f>SUM(I235:I238)</f>
        <v>0</v>
      </c>
      <c r="J239" s="109">
        <f>SUM(J235:J238)</f>
        <v>7000</v>
      </c>
      <c r="K239" s="111" t="s">
        <v>166</v>
      </c>
      <c r="L239" s="106" t="s">
        <v>158</v>
      </c>
    </row>
    <row r="240" spans="1:15" ht="25.2" customHeight="1" x14ac:dyDescent="0.4">
      <c r="A240" s="659" t="s">
        <v>18</v>
      </c>
      <c r="B240" s="659"/>
      <c r="C240" s="156"/>
      <c r="D240" s="156"/>
      <c r="E240" s="696">
        <f>SUM(E239:J239)</f>
        <v>24000</v>
      </c>
      <c r="F240" s="696"/>
      <c r="G240" s="696"/>
      <c r="H240" s="696"/>
      <c r="I240" s="696"/>
      <c r="J240" s="696"/>
      <c r="K240" s="108"/>
      <c r="L240" s="107"/>
      <c r="M240" s="93" t="s">
        <v>149</v>
      </c>
    </row>
    <row r="242" spans="1:15" ht="25.2" customHeight="1" x14ac:dyDescent="0.4">
      <c r="A242" s="6" t="s">
        <v>0</v>
      </c>
      <c r="B242" s="6" t="s">
        <v>1</v>
      </c>
      <c r="C242" s="6"/>
      <c r="D242" s="6"/>
      <c r="E242" s="6" t="s">
        <v>74</v>
      </c>
      <c r="F242" s="6" t="s">
        <v>3</v>
      </c>
      <c r="G242" s="6" t="s">
        <v>4</v>
      </c>
      <c r="H242" s="6" t="s">
        <v>5</v>
      </c>
      <c r="I242" s="6" t="s">
        <v>168</v>
      </c>
      <c r="J242" s="6" t="s">
        <v>7</v>
      </c>
      <c r="K242" s="6" t="s">
        <v>60</v>
      </c>
      <c r="L242" s="6" t="s">
        <v>8</v>
      </c>
    </row>
    <row r="243" spans="1:15" ht="25.2" customHeight="1" x14ac:dyDescent="0.4">
      <c r="A243" s="20">
        <v>44216</v>
      </c>
      <c r="B243" s="20" t="s">
        <v>144</v>
      </c>
      <c r="C243" s="20"/>
      <c r="D243" s="20"/>
      <c r="E243" s="117"/>
      <c r="F243" s="117"/>
      <c r="G243" s="117"/>
      <c r="H243" s="117"/>
      <c r="I243" s="117">
        <v>6600</v>
      </c>
      <c r="J243" s="117"/>
      <c r="K243" s="117" t="s">
        <v>61</v>
      </c>
      <c r="L243" s="116" t="s">
        <v>169</v>
      </c>
    </row>
    <row r="244" spans="1:15" ht="25.2" customHeight="1" x14ac:dyDescent="0.4">
      <c r="A244" s="697" t="s">
        <v>17</v>
      </c>
      <c r="B244" s="697"/>
      <c r="C244" s="155"/>
      <c r="D244" s="155"/>
      <c r="E244" s="115">
        <f>SUM(E243:E243)</f>
        <v>0</v>
      </c>
      <c r="F244" s="83">
        <f>ROUNDDOWN(SUM(F243:F243),0)</f>
        <v>0</v>
      </c>
      <c r="G244" s="115">
        <f>SUM(G243:G243)</f>
        <v>0</v>
      </c>
      <c r="H244" s="115">
        <f>SUM(H243:H243)</f>
        <v>0</v>
      </c>
      <c r="I244" s="115">
        <f>SUM(I243:I243)</f>
        <v>6600</v>
      </c>
      <c r="J244" s="115">
        <f>SUM(J243:J243)</f>
        <v>0</v>
      </c>
      <c r="K244" s="117"/>
      <c r="L244" s="113"/>
    </row>
    <row r="245" spans="1:15" ht="25.2" customHeight="1" x14ac:dyDescent="0.4">
      <c r="A245" s="659" t="s">
        <v>18</v>
      </c>
      <c r="B245" s="659"/>
      <c r="C245" s="156"/>
      <c r="D245" s="156"/>
      <c r="E245" s="696">
        <f>SUM(E244:J244)</f>
        <v>6600</v>
      </c>
      <c r="F245" s="696"/>
      <c r="G245" s="696"/>
      <c r="H245" s="696"/>
      <c r="I245" s="696"/>
      <c r="J245" s="696"/>
      <c r="K245" s="112"/>
      <c r="L245" s="114"/>
      <c r="M245" s="93" t="s">
        <v>149</v>
      </c>
    </row>
    <row r="247" spans="1:15" ht="25.2" customHeight="1" x14ac:dyDescent="0.4">
      <c r="A247" s="6" t="s">
        <v>0</v>
      </c>
      <c r="B247" s="6" t="s">
        <v>1</v>
      </c>
      <c r="C247" s="6"/>
      <c r="D247" s="6"/>
      <c r="E247" s="6" t="s">
        <v>74</v>
      </c>
      <c r="F247" s="6" t="s">
        <v>3</v>
      </c>
      <c r="G247" s="6" t="s">
        <v>4</v>
      </c>
      <c r="H247" s="6" t="s">
        <v>5</v>
      </c>
      <c r="I247" s="6" t="s">
        <v>4</v>
      </c>
      <c r="J247" s="6" t="s">
        <v>7</v>
      </c>
      <c r="K247" s="6" t="s">
        <v>60</v>
      </c>
      <c r="L247" s="6" t="s">
        <v>8</v>
      </c>
    </row>
    <row r="248" spans="1:15" ht="25.2" customHeight="1" x14ac:dyDescent="0.4">
      <c r="A248" s="20">
        <v>44235</v>
      </c>
      <c r="B248" s="20" t="s">
        <v>146</v>
      </c>
      <c r="C248" s="20"/>
      <c r="D248" s="20"/>
      <c r="E248" s="122"/>
      <c r="F248" s="122"/>
      <c r="G248" s="122"/>
      <c r="H248" s="122"/>
      <c r="I248" s="122"/>
      <c r="J248" s="122">
        <v>49000</v>
      </c>
      <c r="K248" s="122" t="s">
        <v>61</v>
      </c>
      <c r="L248" s="121" t="s">
        <v>170</v>
      </c>
    </row>
    <row r="249" spans="1:15" ht="25.2" customHeight="1" x14ac:dyDescent="0.4">
      <c r="A249" s="20">
        <v>44235</v>
      </c>
      <c r="B249" s="20" t="s">
        <v>146</v>
      </c>
      <c r="C249" s="20"/>
      <c r="D249" s="20"/>
      <c r="E249" s="123"/>
      <c r="F249" s="83">
        <f>O249*N249/9</f>
        <v>9662.7222222222226</v>
      </c>
      <c r="G249" s="123"/>
      <c r="H249" s="123"/>
      <c r="I249" s="123"/>
      <c r="J249" s="123"/>
      <c r="K249" s="123" t="s">
        <v>62</v>
      </c>
      <c r="L249" s="118" t="s">
        <v>175</v>
      </c>
      <c r="N249" s="1">
        <v>70</v>
      </c>
      <c r="O249" s="43">
        <v>1242.3499999999999</v>
      </c>
    </row>
    <row r="250" spans="1:15" ht="25.2" customHeight="1" x14ac:dyDescent="0.4">
      <c r="A250" s="20">
        <v>44235</v>
      </c>
      <c r="B250" s="20" t="s">
        <v>146</v>
      </c>
      <c r="C250" s="23"/>
      <c r="D250" s="23"/>
      <c r="E250" s="27">
        <f>2300+2300</f>
        <v>4600</v>
      </c>
      <c r="F250" s="27"/>
      <c r="G250" s="27"/>
      <c r="H250" s="27"/>
      <c r="I250" s="27"/>
      <c r="J250" s="27"/>
      <c r="K250" s="122" t="s">
        <v>64</v>
      </c>
      <c r="L250" s="28" t="s">
        <v>174</v>
      </c>
    </row>
    <row r="251" spans="1:15" ht="25.2" customHeight="1" x14ac:dyDescent="0.4">
      <c r="A251" s="20">
        <v>44231</v>
      </c>
      <c r="B251" s="20" t="s">
        <v>146</v>
      </c>
      <c r="C251" s="23"/>
      <c r="D251" s="23"/>
      <c r="E251" s="27"/>
      <c r="F251" s="83">
        <f>O251*N251/9</f>
        <v>13251.733333333332</v>
      </c>
      <c r="G251" s="27"/>
      <c r="H251" s="27"/>
      <c r="I251" s="27"/>
      <c r="J251" s="27"/>
      <c r="K251" s="122" t="s">
        <v>65</v>
      </c>
      <c r="L251" s="118" t="s">
        <v>173</v>
      </c>
      <c r="N251" s="1">
        <v>96</v>
      </c>
      <c r="O251" s="43">
        <v>1242.3499999999999</v>
      </c>
    </row>
    <row r="252" spans="1:15" ht="25.2" customHeight="1" x14ac:dyDescent="0.4">
      <c r="A252" s="20">
        <v>44231</v>
      </c>
      <c r="B252" s="20" t="s">
        <v>146</v>
      </c>
      <c r="C252" s="23"/>
      <c r="D252" s="23"/>
      <c r="E252" s="27">
        <f>1800+2400</f>
        <v>4200</v>
      </c>
      <c r="F252" s="27"/>
      <c r="G252" s="27"/>
      <c r="H252" s="27"/>
      <c r="I252" s="27"/>
      <c r="J252" s="27"/>
      <c r="K252" s="122" t="s">
        <v>66</v>
      </c>
      <c r="L252" s="28" t="s">
        <v>171</v>
      </c>
    </row>
    <row r="253" spans="1:15" ht="25.2" customHeight="1" x14ac:dyDescent="0.4">
      <c r="A253" s="697" t="s">
        <v>17</v>
      </c>
      <c r="B253" s="697"/>
      <c r="C253" s="155"/>
      <c r="D253" s="155"/>
      <c r="E253" s="123">
        <f>SUM(E248:E252)</f>
        <v>8800</v>
      </c>
      <c r="F253" s="83">
        <f>ROUNDDOWN(SUM(F248:F252),0)</f>
        <v>22914</v>
      </c>
      <c r="G253" s="123">
        <f>SUM(G248:G248)</f>
        <v>0</v>
      </c>
      <c r="H253" s="123">
        <f>SUM(H248:H248)</f>
        <v>0</v>
      </c>
      <c r="I253" s="123">
        <f>SUM(I248:I252)</f>
        <v>0</v>
      </c>
      <c r="J253" s="123">
        <f>SUM(J248:J252)</f>
        <v>49000</v>
      </c>
      <c r="K253" s="122"/>
      <c r="L253" s="118" t="s">
        <v>172</v>
      </c>
      <c r="O253" s="43">
        <v>1242.3499999999999</v>
      </c>
    </row>
    <row r="254" spans="1:15" ht="25.2" customHeight="1" x14ac:dyDescent="0.4">
      <c r="A254" s="659" t="s">
        <v>18</v>
      </c>
      <c r="B254" s="659"/>
      <c r="C254" s="156"/>
      <c r="D254" s="156"/>
      <c r="E254" s="696">
        <f>SUM(E253:J253)</f>
        <v>80714</v>
      </c>
      <c r="F254" s="696"/>
      <c r="G254" s="696"/>
      <c r="H254" s="696"/>
      <c r="I254" s="696"/>
      <c r="J254" s="696"/>
      <c r="K254" s="120"/>
      <c r="L254" s="119"/>
      <c r="M254" s="93" t="s">
        <v>149</v>
      </c>
    </row>
    <row r="256" spans="1:15" ht="25.2" customHeight="1" x14ac:dyDescent="0.4">
      <c r="A256" s="6" t="s">
        <v>0</v>
      </c>
      <c r="B256" s="6" t="s">
        <v>1</v>
      </c>
      <c r="C256" s="6"/>
      <c r="D256" s="6"/>
      <c r="E256" s="6" t="s">
        <v>74</v>
      </c>
      <c r="F256" s="6" t="s">
        <v>3</v>
      </c>
      <c r="G256" s="6" t="s">
        <v>4</v>
      </c>
      <c r="H256" s="6" t="s">
        <v>5</v>
      </c>
      <c r="I256" s="6" t="s">
        <v>4</v>
      </c>
      <c r="J256" s="6" t="s">
        <v>7</v>
      </c>
      <c r="K256" s="6" t="s">
        <v>60</v>
      </c>
      <c r="L256" s="6" t="s">
        <v>8</v>
      </c>
    </row>
    <row r="257" spans="1:15" ht="25.2" customHeight="1" x14ac:dyDescent="0.4">
      <c r="A257" s="20">
        <v>44235</v>
      </c>
      <c r="B257" s="20" t="s">
        <v>63</v>
      </c>
      <c r="C257" s="20"/>
      <c r="D257" s="20"/>
      <c r="E257" s="122">
        <f>2800+2800</f>
        <v>5600</v>
      </c>
      <c r="F257" s="122"/>
      <c r="G257" s="122"/>
      <c r="H257" s="122"/>
      <c r="I257" s="122"/>
      <c r="J257" s="122"/>
      <c r="K257" s="122"/>
      <c r="L257" s="121" t="s">
        <v>177</v>
      </c>
    </row>
    <row r="258" spans="1:15" ht="25.2" customHeight="1" x14ac:dyDescent="0.4">
      <c r="A258" s="20">
        <v>44235</v>
      </c>
      <c r="B258" s="20" t="s">
        <v>63</v>
      </c>
      <c r="C258" s="20"/>
      <c r="D258" s="20"/>
      <c r="E258" s="123"/>
      <c r="F258" s="83">
        <f>O258*N258/9</f>
        <v>15184.277777777777</v>
      </c>
      <c r="G258" s="123"/>
      <c r="H258" s="123"/>
      <c r="I258" s="123"/>
      <c r="J258" s="123"/>
      <c r="K258" s="123"/>
      <c r="L258" s="118" t="s">
        <v>176</v>
      </c>
      <c r="N258" s="1">
        <v>110</v>
      </c>
      <c r="O258" s="43">
        <v>1242.3499999999999</v>
      </c>
    </row>
    <row r="259" spans="1:15" ht="25.2" customHeight="1" x14ac:dyDescent="0.4">
      <c r="A259" s="697" t="s">
        <v>17</v>
      </c>
      <c r="B259" s="697"/>
      <c r="C259" s="155"/>
      <c r="D259" s="155"/>
      <c r="E259" s="123">
        <f>SUM(E257:E258)</f>
        <v>5600</v>
      </c>
      <c r="F259" s="83">
        <f>ROUNDDOWN(SUM(F257:F258),0)</f>
        <v>15184</v>
      </c>
      <c r="G259" s="123">
        <f>SUM(G257:G257)</f>
        <v>0</v>
      </c>
      <c r="H259" s="123">
        <f>SUM(H257:H257)</f>
        <v>0</v>
      </c>
      <c r="I259" s="123">
        <f>SUM(I257:I258)</f>
        <v>0</v>
      </c>
      <c r="J259" s="123">
        <f>SUM(J257:J258)</f>
        <v>0</v>
      </c>
      <c r="K259" s="122"/>
      <c r="L259" s="118" t="s">
        <v>172</v>
      </c>
      <c r="O259" s="43">
        <v>1242.3499999999999</v>
      </c>
    </row>
    <row r="260" spans="1:15" ht="25.2" customHeight="1" x14ac:dyDescent="0.4">
      <c r="A260" s="659" t="s">
        <v>18</v>
      </c>
      <c r="B260" s="659"/>
      <c r="C260" s="156"/>
      <c r="D260" s="156"/>
      <c r="E260" s="696">
        <f>SUM(E259:J259)</f>
        <v>20784</v>
      </c>
      <c r="F260" s="696"/>
      <c r="G260" s="696"/>
      <c r="H260" s="696"/>
      <c r="I260" s="696"/>
      <c r="J260" s="696"/>
      <c r="K260" s="120"/>
      <c r="L260" s="119"/>
      <c r="M260" s="93" t="s">
        <v>149</v>
      </c>
    </row>
    <row r="262" spans="1:15" ht="25.2" customHeight="1" x14ac:dyDescent="0.4">
      <c r="A262" s="6" t="s">
        <v>0</v>
      </c>
      <c r="B262" s="6" t="s">
        <v>1</v>
      </c>
      <c r="C262" s="6"/>
      <c r="D262" s="6"/>
      <c r="E262" s="6" t="s">
        <v>74</v>
      </c>
      <c r="F262" s="6" t="s">
        <v>3</v>
      </c>
      <c r="G262" s="6" t="s">
        <v>4</v>
      </c>
      <c r="H262" s="6" t="s">
        <v>5</v>
      </c>
      <c r="I262" s="6" t="s">
        <v>4</v>
      </c>
      <c r="J262" s="6" t="s">
        <v>7</v>
      </c>
      <c r="K262" s="6" t="s">
        <v>60</v>
      </c>
      <c r="L262" s="6" t="s">
        <v>8</v>
      </c>
    </row>
    <row r="263" spans="1:15" ht="25.2" customHeight="1" x14ac:dyDescent="0.4">
      <c r="A263" s="20">
        <v>44244</v>
      </c>
      <c r="B263" s="20" t="s">
        <v>146</v>
      </c>
      <c r="C263" s="20"/>
      <c r="D263" s="20"/>
      <c r="E263" s="129"/>
      <c r="F263" s="129"/>
      <c r="G263" s="129"/>
      <c r="H263" s="129"/>
      <c r="I263" s="129"/>
      <c r="J263" s="129">
        <v>7500</v>
      </c>
      <c r="K263" s="129" t="s">
        <v>61</v>
      </c>
      <c r="L263" s="128" t="s">
        <v>178</v>
      </c>
    </row>
    <row r="264" spans="1:15" ht="25.2" customHeight="1" x14ac:dyDescent="0.4">
      <c r="A264" s="20">
        <v>44244</v>
      </c>
      <c r="B264" s="20" t="s">
        <v>146</v>
      </c>
      <c r="C264" s="20"/>
      <c r="D264" s="20"/>
      <c r="E264" s="127"/>
      <c r="F264" s="83">
        <f>O264*N264/9</f>
        <v>28988.166666666664</v>
      </c>
      <c r="G264" s="127"/>
      <c r="H264" s="127"/>
      <c r="I264" s="127"/>
      <c r="J264" s="127"/>
      <c r="K264" s="127" t="s">
        <v>62</v>
      </c>
      <c r="L264" s="124" t="s">
        <v>179</v>
      </c>
      <c r="N264" s="1">
        <v>210</v>
      </c>
      <c r="O264" s="43">
        <v>1242.3499999999999</v>
      </c>
    </row>
    <row r="265" spans="1:15" ht="25.2" customHeight="1" x14ac:dyDescent="0.4">
      <c r="A265" s="20">
        <v>44244</v>
      </c>
      <c r="B265" s="20" t="s">
        <v>144</v>
      </c>
      <c r="C265" s="23"/>
      <c r="D265" s="23"/>
      <c r="E265" s="27">
        <v>4800</v>
      </c>
      <c r="F265" s="27"/>
      <c r="G265" s="27"/>
      <c r="H265" s="27"/>
      <c r="I265" s="27"/>
      <c r="J265" s="27"/>
      <c r="K265" s="129" t="s">
        <v>64</v>
      </c>
      <c r="L265" s="28" t="s">
        <v>180</v>
      </c>
    </row>
    <row r="266" spans="1:15" ht="25.2" customHeight="1" x14ac:dyDescent="0.4">
      <c r="A266" s="20">
        <v>44244</v>
      </c>
      <c r="B266" s="20" t="s">
        <v>146</v>
      </c>
      <c r="C266" s="23"/>
      <c r="D266" s="23"/>
      <c r="E266" s="27">
        <v>6000</v>
      </c>
      <c r="F266" s="27"/>
      <c r="G266" s="27"/>
      <c r="H266" s="27"/>
      <c r="I266" s="27"/>
      <c r="J266" s="27"/>
      <c r="K266" s="129" t="s">
        <v>65</v>
      </c>
      <c r="L266" s="28" t="s">
        <v>181</v>
      </c>
    </row>
    <row r="267" spans="1:15" ht="25.2" customHeight="1" x14ac:dyDescent="0.4">
      <c r="A267" s="682" t="s">
        <v>17</v>
      </c>
      <c r="B267" s="683"/>
      <c r="C267" s="154"/>
      <c r="D267" s="154"/>
      <c r="E267" s="127">
        <f>SUM(E263:E266)</f>
        <v>10800</v>
      </c>
      <c r="F267" s="83">
        <f>ROUNDDOWN(SUM(F263:F266),0)</f>
        <v>28988</v>
      </c>
      <c r="G267" s="127">
        <f>SUM(G263:G263)</f>
        <v>0</v>
      </c>
      <c r="H267" s="127">
        <f>SUM(H263:H263)</f>
        <v>0</v>
      </c>
      <c r="I267" s="127">
        <f>SUM(I263:I266)</f>
        <v>0</v>
      </c>
      <c r="J267" s="127">
        <f>SUM(J263:J266)</f>
        <v>7500</v>
      </c>
      <c r="K267" s="129"/>
      <c r="L267" s="124" t="s">
        <v>172</v>
      </c>
      <c r="O267" s="43">
        <v>1242.3499999999999</v>
      </c>
    </row>
    <row r="268" spans="1:15" ht="25.2" customHeight="1" x14ac:dyDescent="0.4">
      <c r="A268" s="684" t="s">
        <v>18</v>
      </c>
      <c r="B268" s="685"/>
      <c r="C268" s="171"/>
      <c r="D268" s="171"/>
      <c r="E268" s="689">
        <f>SUM(E267:J267)</f>
        <v>47288</v>
      </c>
      <c r="F268" s="690"/>
      <c r="G268" s="690"/>
      <c r="H268" s="690"/>
      <c r="I268" s="690"/>
      <c r="J268" s="691"/>
      <c r="K268" s="126"/>
      <c r="L268" s="125"/>
      <c r="M268" s="93" t="s">
        <v>149</v>
      </c>
    </row>
    <row r="270" spans="1:15" ht="25.2" customHeight="1" x14ac:dyDescent="0.4">
      <c r="A270" s="6" t="s">
        <v>0</v>
      </c>
      <c r="B270" s="6" t="s">
        <v>1</v>
      </c>
      <c r="C270" s="6"/>
      <c r="D270" s="6"/>
      <c r="E270" s="6" t="s">
        <v>74</v>
      </c>
      <c r="F270" s="6" t="s">
        <v>3</v>
      </c>
      <c r="G270" s="6" t="s">
        <v>4</v>
      </c>
      <c r="H270" s="6" t="s">
        <v>5</v>
      </c>
      <c r="I270" s="6" t="s">
        <v>4</v>
      </c>
      <c r="J270" s="6" t="s">
        <v>7</v>
      </c>
      <c r="K270" s="6" t="s">
        <v>60</v>
      </c>
      <c r="L270" s="6" t="s">
        <v>8</v>
      </c>
    </row>
    <row r="271" spans="1:15" ht="25.2" customHeight="1" x14ac:dyDescent="0.4">
      <c r="A271" s="20">
        <v>44252</v>
      </c>
      <c r="B271" s="20" t="s">
        <v>146</v>
      </c>
      <c r="C271" s="20"/>
      <c r="D271" s="20"/>
      <c r="E271" s="129">
        <v>4000</v>
      </c>
      <c r="F271" s="129"/>
      <c r="G271" s="129"/>
      <c r="H271" s="129"/>
      <c r="I271" s="129"/>
      <c r="J271" s="129"/>
      <c r="K271" s="129" t="s">
        <v>61</v>
      </c>
      <c r="L271" s="128" t="s">
        <v>182</v>
      </c>
    </row>
    <row r="272" spans="1:15" ht="25.2" customHeight="1" x14ac:dyDescent="0.4">
      <c r="A272" s="20">
        <v>44252</v>
      </c>
      <c r="B272" s="20" t="s">
        <v>146</v>
      </c>
      <c r="C272" s="20"/>
      <c r="D272" s="20"/>
      <c r="E272" s="127"/>
      <c r="F272" s="83">
        <f>O272*N272/9</f>
        <v>8972.5277777777774</v>
      </c>
      <c r="G272" s="127"/>
      <c r="H272" s="127"/>
      <c r="I272" s="127"/>
      <c r="J272" s="127"/>
      <c r="K272" s="127" t="s">
        <v>62</v>
      </c>
      <c r="L272" s="124" t="s">
        <v>183</v>
      </c>
      <c r="N272" s="1">
        <v>65</v>
      </c>
      <c r="O272" s="43">
        <v>1242.3499999999999</v>
      </c>
    </row>
    <row r="273" spans="1:15" ht="25.2" customHeight="1" x14ac:dyDescent="0.4">
      <c r="A273" s="682" t="s">
        <v>17</v>
      </c>
      <c r="B273" s="683"/>
      <c r="C273" s="154"/>
      <c r="D273" s="154"/>
      <c r="E273" s="127">
        <f>SUM(E271:E272)</f>
        <v>4000</v>
      </c>
      <c r="F273" s="83">
        <f>ROUNDDOWN(SUM(F271:F272),0)</f>
        <v>8972</v>
      </c>
      <c r="G273" s="127">
        <f>SUM(G271:G271)</f>
        <v>0</v>
      </c>
      <c r="H273" s="127">
        <f>SUM(H271:H271)</f>
        <v>0</v>
      </c>
      <c r="I273" s="127">
        <f>SUM(I271:I272)</f>
        <v>0</v>
      </c>
      <c r="J273" s="127">
        <f>SUM(J271:J272)</f>
        <v>0</v>
      </c>
      <c r="K273" s="129"/>
      <c r="L273" s="124" t="s">
        <v>172</v>
      </c>
      <c r="O273" s="43">
        <v>1242.3499999999999</v>
      </c>
    </row>
    <row r="274" spans="1:15" ht="25.2" customHeight="1" x14ac:dyDescent="0.4">
      <c r="A274" s="684" t="s">
        <v>18</v>
      </c>
      <c r="B274" s="685"/>
      <c r="C274" s="171"/>
      <c r="D274" s="171"/>
      <c r="E274" s="689">
        <f>SUM(E273:J273)</f>
        <v>12972</v>
      </c>
      <c r="F274" s="690"/>
      <c r="G274" s="690"/>
      <c r="H274" s="690"/>
      <c r="I274" s="690"/>
      <c r="J274" s="691"/>
      <c r="K274" s="126"/>
      <c r="L274" s="125"/>
      <c r="M274" s="93" t="s">
        <v>149</v>
      </c>
    </row>
    <row r="276" spans="1:15" ht="25.2" customHeight="1" x14ac:dyDescent="0.4">
      <c r="A276" s="6" t="s">
        <v>0</v>
      </c>
      <c r="B276" s="6" t="s">
        <v>1</v>
      </c>
      <c r="C276" s="6"/>
      <c r="D276" s="6"/>
      <c r="E276" s="6" t="s">
        <v>74</v>
      </c>
      <c r="F276" s="6" t="s">
        <v>3</v>
      </c>
      <c r="G276" s="6" t="s">
        <v>4</v>
      </c>
      <c r="H276" s="6" t="s">
        <v>5</v>
      </c>
      <c r="I276" s="6" t="s">
        <v>4</v>
      </c>
      <c r="J276" s="6" t="s">
        <v>7</v>
      </c>
      <c r="K276" s="6" t="s">
        <v>60</v>
      </c>
      <c r="L276" s="6" t="s">
        <v>8</v>
      </c>
    </row>
    <row r="277" spans="1:15" ht="25.2" customHeight="1" x14ac:dyDescent="0.4">
      <c r="A277" s="20">
        <v>44262</v>
      </c>
      <c r="B277" s="20" t="s">
        <v>146</v>
      </c>
      <c r="C277" s="20"/>
      <c r="D277" s="20"/>
      <c r="E277" s="134"/>
      <c r="F277" s="134"/>
      <c r="G277" s="134"/>
      <c r="H277" s="134"/>
      <c r="I277" s="134"/>
      <c r="J277" s="134">
        <v>6900</v>
      </c>
      <c r="K277" s="134" t="s">
        <v>61</v>
      </c>
      <c r="L277" s="133" t="s">
        <v>135</v>
      </c>
    </row>
    <row r="278" spans="1:15" ht="25.2" customHeight="1" x14ac:dyDescent="0.4">
      <c r="A278" s="682" t="s">
        <v>17</v>
      </c>
      <c r="B278" s="683"/>
      <c r="C278" s="154"/>
      <c r="D278" s="154"/>
      <c r="E278" s="135">
        <f>SUM(E277:E277)</f>
        <v>0</v>
      </c>
      <c r="F278" s="83">
        <f>ROUNDDOWN(SUM(F277:F277),0)</f>
        <v>0</v>
      </c>
      <c r="G278" s="135">
        <f>SUM(G277:G277)</f>
        <v>0</v>
      </c>
      <c r="H278" s="135">
        <f>SUM(H277:H277)</f>
        <v>0</v>
      </c>
      <c r="I278" s="135">
        <f>SUM(I277:I277)</f>
        <v>0</v>
      </c>
      <c r="J278" s="135">
        <f>SUM(J277:J277)</f>
        <v>6900</v>
      </c>
      <c r="K278" s="134"/>
      <c r="L278" s="130"/>
      <c r="O278" s="43"/>
    </row>
    <row r="279" spans="1:15" ht="25.2" customHeight="1" x14ac:dyDescent="0.4">
      <c r="A279" s="684" t="s">
        <v>18</v>
      </c>
      <c r="B279" s="685"/>
      <c r="C279" s="171"/>
      <c r="D279" s="171"/>
      <c r="E279" s="689">
        <f>SUM(E278:J278)</f>
        <v>6900</v>
      </c>
      <c r="F279" s="690"/>
      <c r="G279" s="690"/>
      <c r="H279" s="690"/>
      <c r="I279" s="690"/>
      <c r="J279" s="691"/>
      <c r="K279" s="132"/>
      <c r="L279" s="131"/>
      <c r="M279" s="93" t="s">
        <v>149</v>
      </c>
    </row>
    <row r="281" spans="1:15" ht="25.2" customHeight="1" x14ac:dyDescent="0.4">
      <c r="A281" s="6" t="s">
        <v>0</v>
      </c>
      <c r="B281" s="6" t="s">
        <v>1</v>
      </c>
      <c r="C281" s="6"/>
      <c r="D281" s="6"/>
      <c r="E281" s="6" t="s">
        <v>184</v>
      </c>
      <c r="F281" s="6" t="s">
        <v>3</v>
      </c>
      <c r="G281" s="6" t="s">
        <v>4</v>
      </c>
      <c r="H281" s="6" t="s">
        <v>5</v>
      </c>
      <c r="I281" s="6" t="s">
        <v>4</v>
      </c>
      <c r="J281" s="6" t="s">
        <v>7</v>
      </c>
      <c r="K281" s="6" t="s">
        <v>60</v>
      </c>
      <c r="L281" s="6" t="s">
        <v>8</v>
      </c>
    </row>
    <row r="282" spans="1:15" ht="25.2" customHeight="1" x14ac:dyDescent="0.4">
      <c r="A282" s="20">
        <v>44267</v>
      </c>
      <c r="B282" s="20" t="s">
        <v>146</v>
      </c>
      <c r="C282" s="20"/>
      <c r="D282" s="20"/>
      <c r="E282" s="141">
        <v>30000</v>
      </c>
      <c r="F282" s="141"/>
      <c r="G282" s="141"/>
      <c r="H282" s="141"/>
      <c r="I282" s="141"/>
      <c r="J282" s="141"/>
      <c r="K282" s="141" t="s">
        <v>61</v>
      </c>
      <c r="L282" s="140" t="s">
        <v>185</v>
      </c>
    </row>
    <row r="283" spans="1:15" ht="25.2" customHeight="1" x14ac:dyDescent="0.4">
      <c r="A283" s="682" t="s">
        <v>17</v>
      </c>
      <c r="B283" s="683"/>
      <c r="C283" s="154"/>
      <c r="D283" s="154"/>
      <c r="E283" s="139">
        <f>SUM(E282:E282)</f>
        <v>30000</v>
      </c>
      <c r="F283" s="83">
        <f>ROUNDDOWN(SUM(F282:F282),0)</f>
        <v>0</v>
      </c>
      <c r="G283" s="139">
        <f>SUM(G282:G282)</f>
        <v>0</v>
      </c>
      <c r="H283" s="139">
        <f>SUM(H282:H282)</f>
        <v>0</v>
      </c>
      <c r="I283" s="139">
        <f>SUM(I282:I282)</f>
        <v>0</v>
      </c>
      <c r="J283" s="139">
        <f>SUM(J282:J282)</f>
        <v>0</v>
      </c>
      <c r="K283" s="141"/>
      <c r="L283" s="136"/>
    </row>
    <row r="284" spans="1:15" ht="25.2" customHeight="1" x14ac:dyDescent="0.4">
      <c r="A284" s="684" t="s">
        <v>18</v>
      </c>
      <c r="B284" s="685"/>
      <c r="C284" s="171"/>
      <c r="D284" s="171"/>
      <c r="E284" s="689">
        <f>SUM(E283:J283)</f>
        <v>30000</v>
      </c>
      <c r="F284" s="690"/>
      <c r="G284" s="690"/>
      <c r="H284" s="690"/>
      <c r="I284" s="690"/>
      <c r="J284" s="691"/>
      <c r="K284" s="138"/>
      <c r="L284" s="137"/>
      <c r="M284" s="93" t="s">
        <v>149</v>
      </c>
    </row>
    <row r="288" spans="1:15" ht="25.2" customHeight="1" x14ac:dyDescent="0.4">
      <c r="A288" s="6" t="s">
        <v>0</v>
      </c>
      <c r="B288" s="6" t="s">
        <v>1</v>
      </c>
      <c r="C288" s="6"/>
      <c r="D288" s="6"/>
      <c r="E288" s="6" t="s">
        <v>74</v>
      </c>
      <c r="F288" s="6" t="s">
        <v>3</v>
      </c>
      <c r="G288" s="6" t="s">
        <v>4</v>
      </c>
      <c r="H288" s="6" t="s">
        <v>5</v>
      </c>
      <c r="I288" s="6" t="s">
        <v>4</v>
      </c>
      <c r="J288" s="6" t="s">
        <v>7</v>
      </c>
      <c r="K288" s="6" t="s">
        <v>60</v>
      </c>
      <c r="L288" s="6" t="s">
        <v>8</v>
      </c>
    </row>
    <row r="289" spans="1:15" ht="25.2" customHeight="1" x14ac:dyDescent="0.4">
      <c r="A289" s="20">
        <v>44327</v>
      </c>
      <c r="B289" s="20" t="s">
        <v>146</v>
      </c>
      <c r="C289" s="20"/>
      <c r="D289" s="20"/>
      <c r="E289" s="147">
        <v>11800</v>
      </c>
      <c r="F289" s="147"/>
      <c r="G289" s="147"/>
      <c r="H289" s="147"/>
      <c r="I289" s="147"/>
      <c r="J289" s="147"/>
      <c r="K289" s="147" t="s">
        <v>61</v>
      </c>
      <c r="L289" s="146" t="s">
        <v>188</v>
      </c>
    </row>
    <row r="290" spans="1:15" ht="25.2" customHeight="1" x14ac:dyDescent="0.4">
      <c r="A290" s="20">
        <v>44327</v>
      </c>
      <c r="B290" s="20" t="s">
        <v>146</v>
      </c>
      <c r="C290" s="20"/>
      <c r="D290" s="20"/>
      <c r="E290" s="147">
        <v>4000</v>
      </c>
      <c r="F290" s="147"/>
      <c r="G290" s="147"/>
      <c r="H290" s="147"/>
      <c r="I290" s="147"/>
      <c r="J290" s="147"/>
      <c r="K290" s="147" t="s">
        <v>61</v>
      </c>
      <c r="L290" s="146" t="s">
        <v>189</v>
      </c>
    </row>
    <row r="291" spans="1:15" ht="25.2" customHeight="1" x14ac:dyDescent="0.4">
      <c r="A291" s="20">
        <v>44327</v>
      </c>
      <c r="B291" s="20" t="s">
        <v>146</v>
      </c>
      <c r="C291" s="20"/>
      <c r="D291" s="20"/>
      <c r="E291" s="147">
        <v>10800</v>
      </c>
      <c r="F291" s="147"/>
      <c r="G291" s="147"/>
      <c r="H291" s="147"/>
      <c r="I291" s="147"/>
      <c r="J291" s="147"/>
      <c r="K291" s="147" t="s">
        <v>61</v>
      </c>
      <c r="L291" s="146" t="s">
        <v>190</v>
      </c>
    </row>
    <row r="292" spans="1:15" ht="25.2" customHeight="1" x14ac:dyDescent="0.4">
      <c r="A292" s="20">
        <v>44327</v>
      </c>
      <c r="B292" s="20" t="s">
        <v>146</v>
      </c>
      <c r="C292" s="20"/>
      <c r="D292" s="20"/>
      <c r="E292" s="147">
        <v>3900</v>
      </c>
      <c r="F292" s="147"/>
      <c r="G292" s="147"/>
      <c r="H292" s="147"/>
      <c r="I292" s="147"/>
      <c r="J292" s="147"/>
      <c r="K292" s="147" t="s">
        <v>61</v>
      </c>
      <c r="L292" s="146" t="s">
        <v>191</v>
      </c>
    </row>
    <row r="293" spans="1:15" ht="25.2" customHeight="1" x14ac:dyDescent="0.4">
      <c r="A293" s="20">
        <v>44327</v>
      </c>
      <c r="B293" s="20" t="s">
        <v>146</v>
      </c>
      <c r="C293" s="20"/>
      <c r="D293" s="20"/>
      <c r="E293" s="147"/>
      <c r="F293" s="83">
        <f>O293*N293/9</f>
        <v>79964.399999999994</v>
      </c>
      <c r="G293" s="145"/>
      <c r="H293" s="145"/>
      <c r="I293" s="145"/>
      <c r="J293" s="145"/>
      <c r="K293" s="145" t="s">
        <v>62</v>
      </c>
      <c r="L293" s="143" t="s">
        <v>187</v>
      </c>
      <c r="N293" s="1">
        <v>540</v>
      </c>
      <c r="O293" s="43">
        <v>1332.74</v>
      </c>
    </row>
    <row r="294" spans="1:15" ht="25.2" customHeight="1" x14ac:dyDescent="0.4">
      <c r="A294" s="20">
        <v>44327</v>
      </c>
      <c r="B294" s="20" t="s">
        <v>146</v>
      </c>
      <c r="C294" s="20"/>
      <c r="D294" s="20"/>
      <c r="E294" s="147"/>
      <c r="F294" s="147"/>
      <c r="G294" s="147"/>
      <c r="H294" s="147"/>
      <c r="I294" s="147"/>
      <c r="J294" s="147">
        <v>16000</v>
      </c>
      <c r="K294" s="145" t="s">
        <v>64</v>
      </c>
      <c r="L294" s="146" t="s">
        <v>192</v>
      </c>
    </row>
    <row r="295" spans="1:15" ht="25.2" customHeight="1" x14ac:dyDescent="0.4">
      <c r="A295" s="682" t="s">
        <v>17</v>
      </c>
      <c r="B295" s="683"/>
      <c r="C295" s="154"/>
      <c r="D295" s="154"/>
      <c r="E295" s="145">
        <f>SUM(E289:E294)</f>
        <v>30500</v>
      </c>
      <c r="F295" s="83">
        <f>ROUNDDOWN(SUM(F289:F294),0)</f>
        <v>79964</v>
      </c>
      <c r="G295" s="145">
        <f>SUM(G289:G289)</f>
        <v>0</v>
      </c>
      <c r="H295" s="145">
        <f>SUM(H289:H289)</f>
        <v>0</v>
      </c>
      <c r="I295" s="145">
        <f>SUM(I289:I294)</f>
        <v>0</v>
      </c>
      <c r="J295" s="145">
        <f>SUM(J289:J294)</f>
        <v>16000</v>
      </c>
      <c r="K295" s="145" t="s">
        <v>85</v>
      </c>
      <c r="L295" s="143" t="s">
        <v>186</v>
      </c>
      <c r="O295" s="43"/>
    </row>
    <row r="296" spans="1:15" ht="25.2" customHeight="1" x14ac:dyDescent="0.4">
      <c r="A296" s="684" t="s">
        <v>18</v>
      </c>
      <c r="B296" s="685"/>
      <c r="C296" s="171"/>
      <c r="D296" s="171"/>
      <c r="E296" s="689">
        <f>SUM(E295:J295)</f>
        <v>126464</v>
      </c>
      <c r="F296" s="690"/>
      <c r="G296" s="690"/>
      <c r="H296" s="690"/>
      <c r="I296" s="690"/>
      <c r="J296" s="691"/>
      <c r="K296" s="142"/>
      <c r="L296" s="144"/>
      <c r="M296" s="93" t="s">
        <v>149</v>
      </c>
    </row>
    <row r="298" spans="1:15" ht="25.2" customHeight="1" x14ac:dyDescent="0.4">
      <c r="A298" s="6" t="s">
        <v>0</v>
      </c>
      <c r="B298" s="6" t="s">
        <v>1</v>
      </c>
      <c r="C298" s="6" t="s">
        <v>200</v>
      </c>
      <c r="D298" s="6" t="s">
        <v>201</v>
      </c>
      <c r="E298" s="6" t="s">
        <v>199</v>
      </c>
      <c r="F298" s="6" t="s">
        <v>3</v>
      </c>
      <c r="G298" s="6" t="s">
        <v>4</v>
      </c>
      <c r="H298" s="6" t="s">
        <v>5</v>
      </c>
      <c r="I298" s="6" t="s">
        <v>6</v>
      </c>
      <c r="J298" s="6" t="s">
        <v>7</v>
      </c>
      <c r="K298" s="6" t="s">
        <v>60</v>
      </c>
      <c r="L298" s="6" t="s">
        <v>8</v>
      </c>
    </row>
    <row r="299" spans="1:15" ht="25.2" customHeight="1" x14ac:dyDescent="0.4">
      <c r="A299" s="680">
        <v>44338</v>
      </c>
      <c r="B299" s="20" t="s">
        <v>197</v>
      </c>
      <c r="C299" s="20"/>
      <c r="D299" s="20"/>
      <c r="E299" s="149">
        <v>12100</v>
      </c>
      <c r="F299" s="149"/>
      <c r="G299" s="149"/>
      <c r="H299" s="149"/>
      <c r="I299" s="149"/>
      <c r="J299" s="149"/>
      <c r="K299" s="149" t="s">
        <v>61</v>
      </c>
      <c r="L299" s="148" t="s">
        <v>203</v>
      </c>
    </row>
    <row r="300" spans="1:15" ht="25.2" customHeight="1" x14ac:dyDescent="0.4">
      <c r="A300" s="681"/>
      <c r="B300" s="20" t="s">
        <v>197</v>
      </c>
      <c r="C300" s="20"/>
      <c r="D300" s="20"/>
      <c r="E300" s="149">
        <v>4200</v>
      </c>
      <c r="F300" s="149"/>
      <c r="G300" s="149"/>
      <c r="H300" s="149"/>
      <c r="I300" s="149"/>
      <c r="J300" s="149"/>
      <c r="K300" s="149" t="s">
        <v>61</v>
      </c>
      <c r="L300" s="148" t="s">
        <v>194</v>
      </c>
    </row>
    <row r="301" spans="1:15" ht="25.2" customHeight="1" x14ac:dyDescent="0.4">
      <c r="A301" s="681"/>
      <c r="B301" s="20" t="s">
        <v>197</v>
      </c>
      <c r="C301" s="20"/>
      <c r="D301" s="20"/>
      <c r="E301" s="149"/>
      <c r="F301" s="83">
        <f>O301*N301/9</f>
        <v>40722.611111111109</v>
      </c>
      <c r="G301" s="153"/>
      <c r="H301" s="153"/>
      <c r="I301" s="153"/>
      <c r="J301" s="153"/>
      <c r="K301" s="153" t="s">
        <v>62</v>
      </c>
      <c r="L301" s="150" t="s">
        <v>193</v>
      </c>
      <c r="N301" s="1">
        <v>275</v>
      </c>
      <c r="O301" s="43">
        <v>1332.74</v>
      </c>
    </row>
    <row r="302" spans="1:15" ht="25.2" customHeight="1" x14ac:dyDescent="0.4">
      <c r="A302" s="695"/>
      <c r="B302" s="20" t="s">
        <v>197</v>
      </c>
      <c r="C302" s="20"/>
      <c r="D302" s="20"/>
      <c r="E302" s="162"/>
      <c r="F302" s="83"/>
      <c r="G302" s="159"/>
      <c r="H302" s="159"/>
      <c r="I302" s="162">
        <v>20000</v>
      </c>
      <c r="J302" s="162">
        <v>18000</v>
      </c>
      <c r="K302" s="159"/>
      <c r="L302" s="155"/>
      <c r="O302" s="43"/>
    </row>
    <row r="303" spans="1:15" ht="25.2" customHeight="1" x14ac:dyDescent="0.4">
      <c r="A303" s="20">
        <v>44339</v>
      </c>
      <c r="B303" s="20" t="s">
        <v>197</v>
      </c>
      <c r="C303" s="20"/>
      <c r="D303" s="20"/>
      <c r="E303" s="149"/>
      <c r="F303" s="83"/>
      <c r="G303" s="153"/>
      <c r="H303" s="153"/>
      <c r="I303" s="149">
        <v>20000</v>
      </c>
      <c r="J303" s="149">
        <v>18000</v>
      </c>
      <c r="K303" s="153"/>
      <c r="L303" s="150"/>
      <c r="O303" s="43"/>
    </row>
    <row r="304" spans="1:15" ht="25.2" customHeight="1" x14ac:dyDescent="0.4">
      <c r="A304" s="20">
        <v>44340</v>
      </c>
      <c r="B304" s="20" t="s">
        <v>197</v>
      </c>
      <c r="C304" s="20"/>
      <c r="D304" s="20"/>
      <c r="E304" s="149"/>
      <c r="F304" s="149"/>
      <c r="G304" s="149"/>
      <c r="H304" s="149"/>
      <c r="I304" s="149">
        <v>10000</v>
      </c>
      <c r="J304" s="149">
        <v>18000</v>
      </c>
      <c r="K304" s="149"/>
      <c r="L304" s="148"/>
    </row>
    <row r="305" spans="1:15" ht="25.2" customHeight="1" x14ac:dyDescent="0.4">
      <c r="A305" s="20">
        <v>44341</v>
      </c>
      <c r="B305" s="20" t="s">
        <v>197</v>
      </c>
      <c r="C305" s="20"/>
      <c r="D305" s="20"/>
      <c r="E305" s="149"/>
      <c r="F305" s="149"/>
      <c r="G305" s="149"/>
      <c r="H305" s="149"/>
      <c r="I305" s="149">
        <v>10000</v>
      </c>
      <c r="J305" s="149">
        <v>18000</v>
      </c>
      <c r="K305" s="149"/>
      <c r="L305" s="148"/>
    </row>
    <row r="306" spans="1:15" ht="25.2" customHeight="1" x14ac:dyDescent="0.4">
      <c r="A306" s="20">
        <v>44342</v>
      </c>
      <c r="B306" s="20" t="s">
        <v>197</v>
      </c>
      <c r="C306" s="20"/>
      <c r="D306" s="20"/>
      <c r="E306" s="149"/>
      <c r="F306" s="149"/>
      <c r="G306" s="149"/>
      <c r="H306" s="149"/>
      <c r="I306" s="149">
        <v>10000</v>
      </c>
      <c r="J306" s="149">
        <v>18000</v>
      </c>
      <c r="K306" s="149"/>
      <c r="L306" s="148"/>
    </row>
    <row r="307" spans="1:15" ht="25.2" customHeight="1" x14ac:dyDescent="0.4">
      <c r="A307" s="20">
        <v>44343</v>
      </c>
      <c r="B307" s="20" t="s">
        <v>197</v>
      </c>
      <c r="C307" s="20"/>
      <c r="D307" s="20"/>
      <c r="E307" s="149"/>
      <c r="F307" s="149"/>
      <c r="G307" s="149"/>
      <c r="H307" s="149"/>
      <c r="I307" s="149">
        <v>10000</v>
      </c>
      <c r="J307" s="149">
        <v>18000</v>
      </c>
      <c r="K307" s="149"/>
      <c r="L307" s="148"/>
    </row>
    <row r="308" spans="1:15" ht="25.2" customHeight="1" x14ac:dyDescent="0.4">
      <c r="A308" s="20">
        <v>44344</v>
      </c>
      <c r="B308" s="20" t="s">
        <v>197</v>
      </c>
      <c r="C308" s="20"/>
      <c r="D308" s="20"/>
      <c r="E308" s="149"/>
      <c r="F308" s="149"/>
      <c r="G308" s="149"/>
      <c r="H308" s="149"/>
      <c r="I308" s="149">
        <v>10000</v>
      </c>
      <c r="J308" s="149">
        <v>18000</v>
      </c>
      <c r="K308" s="149"/>
      <c r="L308" s="148"/>
    </row>
    <row r="309" spans="1:15" ht="25.2" customHeight="1" x14ac:dyDescent="0.4">
      <c r="A309" s="680">
        <v>44345</v>
      </c>
      <c r="B309" s="20" t="s">
        <v>197</v>
      </c>
      <c r="C309" s="162">
        <v>1400</v>
      </c>
      <c r="D309" s="20"/>
      <c r="E309" s="162"/>
      <c r="F309" s="83"/>
      <c r="G309" s="153"/>
      <c r="H309" s="153"/>
      <c r="I309" s="149"/>
      <c r="J309" s="149"/>
      <c r="K309" s="159" t="s">
        <v>195</v>
      </c>
      <c r="L309" s="160" t="s">
        <v>202</v>
      </c>
      <c r="O309" s="43"/>
    </row>
    <row r="310" spans="1:15" ht="25.2" customHeight="1" x14ac:dyDescent="0.4">
      <c r="A310" s="681"/>
      <c r="B310" s="20" t="s">
        <v>197</v>
      </c>
      <c r="C310" s="20"/>
      <c r="D310" s="162">
        <v>8800</v>
      </c>
      <c r="E310" s="162"/>
      <c r="F310" s="84"/>
      <c r="G310" s="162"/>
      <c r="H310" s="162"/>
      <c r="I310" s="162"/>
      <c r="J310" s="162"/>
      <c r="K310" s="159" t="s">
        <v>196</v>
      </c>
      <c r="L310" s="160" t="s">
        <v>198</v>
      </c>
      <c r="O310" s="43"/>
    </row>
    <row r="311" spans="1:15" ht="25.2" customHeight="1" x14ac:dyDescent="0.4">
      <c r="A311" s="695"/>
      <c r="B311" s="20" t="s">
        <v>197</v>
      </c>
      <c r="C311" s="20"/>
      <c r="D311" s="20"/>
      <c r="E311" s="162"/>
      <c r="F311" s="84"/>
      <c r="G311" s="162"/>
      <c r="H311" s="162"/>
      <c r="I311" s="162">
        <v>20000</v>
      </c>
      <c r="J311" s="162">
        <v>18000</v>
      </c>
      <c r="K311" s="159"/>
      <c r="L311" s="160"/>
      <c r="O311" s="43"/>
    </row>
    <row r="312" spans="1:15" ht="25.2" customHeight="1" x14ac:dyDescent="0.4">
      <c r="A312" s="20">
        <v>44346</v>
      </c>
      <c r="B312" s="20" t="s">
        <v>197</v>
      </c>
      <c r="C312" s="20"/>
      <c r="D312" s="20"/>
      <c r="E312" s="149"/>
      <c r="F312" s="84"/>
      <c r="G312" s="149"/>
      <c r="H312" s="149"/>
      <c r="I312" s="149">
        <v>20000</v>
      </c>
      <c r="J312" s="149">
        <v>18000</v>
      </c>
      <c r="K312" s="153"/>
      <c r="L312" s="148"/>
      <c r="O312" s="43"/>
    </row>
    <row r="313" spans="1:15" ht="25.2" customHeight="1" x14ac:dyDescent="0.4">
      <c r="A313" s="682" t="s">
        <v>17</v>
      </c>
      <c r="B313" s="683"/>
      <c r="C313" s="159">
        <f>SUM(C299:C312)</f>
        <v>1400</v>
      </c>
      <c r="D313" s="159">
        <f>SUM(D299:D312)</f>
        <v>8800</v>
      </c>
      <c r="E313" s="153">
        <f>SUM(E299:E312)</f>
        <v>16300</v>
      </c>
      <c r="F313" s="83">
        <f>ROUNDDOWN(SUM(F299:F312),0)</f>
        <v>40722</v>
      </c>
      <c r="G313" s="153">
        <f>SUM(G299:G299)</f>
        <v>0</v>
      </c>
      <c r="H313" s="153">
        <f>SUM(H299:H299)</f>
        <v>0</v>
      </c>
      <c r="I313" s="153">
        <f>SUM(I299:I312)</f>
        <v>130000</v>
      </c>
      <c r="J313" s="153">
        <f>SUM(J299:J312)</f>
        <v>162000</v>
      </c>
      <c r="K313" s="153"/>
      <c r="L313" s="150" t="s">
        <v>186</v>
      </c>
      <c r="O313" s="43"/>
    </row>
    <row r="314" spans="1:15" ht="25.2" customHeight="1" x14ac:dyDescent="0.4">
      <c r="A314" s="684" t="s">
        <v>18</v>
      </c>
      <c r="B314" s="685"/>
      <c r="C314" s="689">
        <f>SUM(C313:J313)</f>
        <v>359222</v>
      </c>
      <c r="D314" s="690"/>
      <c r="E314" s="690"/>
      <c r="F314" s="690"/>
      <c r="G314" s="690"/>
      <c r="H314" s="690"/>
      <c r="I314" s="690"/>
      <c r="J314" s="691"/>
      <c r="K314" s="152"/>
      <c r="L314" s="151"/>
      <c r="M314" s="93" t="s">
        <v>149</v>
      </c>
    </row>
    <row r="316" spans="1:15" ht="25.2" customHeight="1" x14ac:dyDescent="0.4">
      <c r="A316" s="6" t="s">
        <v>0</v>
      </c>
      <c r="B316" s="6" t="s">
        <v>1</v>
      </c>
      <c r="C316" s="6" t="s">
        <v>200</v>
      </c>
      <c r="D316" s="6" t="s">
        <v>201</v>
      </c>
      <c r="E316" s="6" t="s">
        <v>199</v>
      </c>
      <c r="F316" s="6" t="s">
        <v>3</v>
      </c>
      <c r="G316" s="6" t="s">
        <v>4</v>
      </c>
      <c r="H316" s="6" t="s">
        <v>5</v>
      </c>
      <c r="I316" s="6" t="s">
        <v>6</v>
      </c>
      <c r="J316" s="6" t="s">
        <v>7</v>
      </c>
      <c r="K316" s="6" t="s">
        <v>60</v>
      </c>
      <c r="L316" s="6" t="s">
        <v>8</v>
      </c>
    </row>
    <row r="317" spans="1:15" ht="25.2" customHeight="1" x14ac:dyDescent="0.4">
      <c r="A317" s="170">
        <v>44347</v>
      </c>
      <c r="B317" s="170" t="s">
        <v>146</v>
      </c>
      <c r="C317" s="172"/>
      <c r="D317" s="172"/>
      <c r="E317" s="173"/>
      <c r="F317" s="174"/>
      <c r="G317" s="169"/>
      <c r="H317" s="169"/>
      <c r="I317" s="168">
        <v>10000</v>
      </c>
      <c r="J317" s="168">
        <v>18000</v>
      </c>
      <c r="K317" s="169"/>
      <c r="L317" s="164"/>
      <c r="O317" s="43"/>
    </row>
    <row r="318" spans="1:15" ht="25.2" customHeight="1" x14ac:dyDescent="0.4">
      <c r="A318" s="170">
        <v>44348</v>
      </c>
      <c r="B318" s="170" t="s">
        <v>146</v>
      </c>
      <c r="C318" s="172"/>
      <c r="D318" s="172"/>
      <c r="E318" s="173"/>
      <c r="F318" s="173"/>
      <c r="G318" s="168"/>
      <c r="H318" s="168"/>
      <c r="I318" s="168">
        <v>10000</v>
      </c>
      <c r="J318" s="168">
        <v>18000</v>
      </c>
      <c r="K318" s="168"/>
      <c r="L318" s="167"/>
    </row>
    <row r="319" spans="1:15" ht="25.2" customHeight="1" x14ac:dyDescent="0.4">
      <c r="A319" s="170">
        <v>44349</v>
      </c>
      <c r="B319" s="170" t="s">
        <v>146</v>
      </c>
      <c r="C319" s="172"/>
      <c r="D319" s="172"/>
      <c r="E319" s="173"/>
      <c r="F319" s="173"/>
      <c r="G319" s="168"/>
      <c r="H319" s="168"/>
      <c r="I319" s="168">
        <v>10000</v>
      </c>
      <c r="J319" s="168">
        <v>18000</v>
      </c>
      <c r="K319" s="168"/>
      <c r="L319" s="167"/>
    </row>
    <row r="320" spans="1:15" ht="25.2" customHeight="1" x14ac:dyDescent="0.4">
      <c r="A320" s="680">
        <v>44350</v>
      </c>
      <c r="B320" s="170" t="s">
        <v>146</v>
      </c>
      <c r="C320" s="172"/>
      <c r="D320" s="172"/>
      <c r="E320" s="173"/>
      <c r="F320" s="173"/>
      <c r="G320" s="168"/>
      <c r="H320" s="168"/>
      <c r="I320" s="168">
        <v>10000</v>
      </c>
      <c r="J320" s="168">
        <v>18000</v>
      </c>
      <c r="K320" s="168"/>
      <c r="L320" s="167"/>
    </row>
    <row r="321" spans="1:15" ht="25.2" customHeight="1" x14ac:dyDescent="0.4">
      <c r="A321" s="681"/>
      <c r="B321" s="170" t="s">
        <v>146</v>
      </c>
      <c r="C321" s="172"/>
      <c r="D321" s="172"/>
      <c r="E321" s="173"/>
      <c r="F321" s="173"/>
      <c r="G321" s="168"/>
      <c r="H321" s="168"/>
      <c r="I321" s="168"/>
      <c r="J321" s="168">
        <v>345000</v>
      </c>
      <c r="K321" s="168" t="s">
        <v>204</v>
      </c>
      <c r="L321" s="167" t="s">
        <v>206</v>
      </c>
    </row>
    <row r="322" spans="1:15" ht="25.2" customHeight="1" x14ac:dyDescent="0.4">
      <c r="A322" s="695"/>
      <c r="B322" s="170" t="s">
        <v>146</v>
      </c>
      <c r="C322" s="172">
        <v>5400</v>
      </c>
      <c r="D322" s="172"/>
      <c r="E322" s="173"/>
      <c r="F322" s="173"/>
      <c r="G322" s="168"/>
      <c r="H322" s="168"/>
      <c r="I322" s="168"/>
      <c r="J322" s="168"/>
      <c r="K322" s="168" t="s">
        <v>205</v>
      </c>
      <c r="L322" s="167" t="s">
        <v>207</v>
      </c>
    </row>
    <row r="323" spans="1:15" ht="25.2" customHeight="1" x14ac:dyDescent="0.4">
      <c r="A323" s="170">
        <v>44351</v>
      </c>
      <c r="B323" s="170" t="s">
        <v>146</v>
      </c>
      <c r="C323" s="172"/>
      <c r="D323" s="172"/>
      <c r="E323" s="173"/>
      <c r="F323" s="173"/>
      <c r="G323" s="168"/>
      <c r="H323" s="168"/>
      <c r="I323" s="168">
        <v>10000</v>
      </c>
      <c r="J323" s="168">
        <v>18000</v>
      </c>
      <c r="K323" s="168"/>
      <c r="L323" s="167"/>
    </row>
    <row r="324" spans="1:15" ht="25.2" customHeight="1" x14ac:dyDescent="0.4">
      <c r="A324" s="682" t="s">
        <v>17</v>
      </c>
      <c r="B324" s="683"/>
      <c r="C324" s="174">
        <f>SUM(C317:C323)</f>
        <v>5400</v>
      </c>
      <c r="D324" s="174">
        <f>SUM(D317:D323)</f>
        <v>0</v>
      </c>
      <c r="E324" s="174">
        <f>SUM(E317:E323)</f>
        <v>0</v>
      </c>
      <c r="F324" s="174">
        <f>ROUNDDOWN(SUM(F317:F323),0)</f>
        <v>0</v>
      </c>
      <c r="G324" s="169" t="e">
        <f>SUM(#REF!)</f>
        <v>#REF!</v>
      </c>
      <c r="H324" s="169" t="e">
        <f>SUM(#REF!)</f>
        <v>#REF!</v>
      </c>
      <c r="I324" s="169">
        <f>SUM(I317:I323)</f>
        <v>50000</v>
      </c>
      <c r="J324" s="169">
        <f>SUM(J317:J323)</f>
        <v>435000</v>
      </c>
      <c r="K324" s="169"/>
      <c r="L324" s="164" t="s">
        <v>186</v>
      </c>
      <c r="O324" s="43"/>
    </row>
    <row r="325" spans="1:15" ht="25.2" customHeight="1" x14ac:dyDescent="0.4">
      <c r="A325" s="684" t="s">
        <v>18</v>
      </c>
      <c r="B325" s="685"/>
      <c r="C325" s="689">
        <f>C324+D324+E324+F324+I324+J324</f>
        <v>490400</v>
      </c>
      <c r="D325" s="690"/>
      <c r="E325" s="690"/>
      <c r="F325" s="690"/>
      <c r="G325" s="690"/>
      <c r="H325" s="690"/>
      <c r="I325" s="690"/>
      <c r="J325" s="691"/>
      <c r="K325" s="166"/>
      <c r="L325" s="165"/>
      <c r="M325" s="93" t="s">
        <v>149</v>
      </c>
    </row>
    <row r="326" spans="1:15" ht="25.2" customHeight="1" x14ac:dyDescent="0.4">
      <c r="L326" s="196">
        <f>C314+C325-817622</f>
        <v>32000</v>
      </c>
    </row>
    <row r="327" spans="1:15" ht="25.2" customHeight="1" x14ac:dyDescent="0.4">
      <c r="A327" s="6" t="s">
        <v>0</v>
      </c>
      <c r="B327" s="6" t="s">
        <v>1</v>
      </c>
      <c r="C327" s="6" t="s">
        <v>200</v>
      </c>
      <c r="D327" s="6" t="s">
        <v>5</v>
      </c>
      <c r="E327" s="6" t="s">
        <v>74</v>
      </c>
      <c r="F327" s="6" t="s">
        <v>3</v>
      </c>
      <c r="G327" s="6" t="s">
        <v>4</v>
      </c>
      <c r="H327" s="6" t="s">
        <v>5</v>
      </c>
      <c r="I327" s="6" t="s">
        <v>6</v>
      </c>
      <c r="J327" s="6" t="s">
        <v>7</v>
      </c>
      <c r="K327" s="6" t="s">
        <v>60</v>
      </c>
      <c r="L327" s="6" t="s">
        <v>8</v>
      </c>
    </row>
    <row r="328" spans="1:15" ht="25.2" customHeight="1" x14ac:dyDescent="0.4">
      <c r="A328" s="680">
        <v>44352</v>
      </c>
      <c r="B328" s="175" t="s">
        <v>146</v>
      </c>
      <c r="C328" s="175"/>
      <c r="D328" s="175"/>
      <c r="E328" s="180">
        <v>11000</v>
      </c>
      <c r="F328" s="180"/>
      <c r="G328" s="180"/>
      <c r="H328" s="180"/>
      <c r="I328" s="180"/>
      <c r="J328" s="180"/>
      <c r="K328" s="180" t="s">
        <v>61</v>
      </c>
      <c r="L328" s="179" t="s">
        <v>208</v>
      </c>
    </row>
    <row r="329" spans="1:15" ht="25.2" customHeight="1" x14ac:dyDescent="0.4">
      <c r="A329" s="681"/>
      <c r="B329" s="175" t="s">
        <v>146</v>
      </c>
      <c r="C329" s="175"/>
      <c r="D329" s="175"/>
      <c r="E329" s="180">
        <v>4400</v>
      </c>
      <c r="F329" s="180"/>
      <c r="G329" s="180"/>
      <c r="H329" s="180"/>
      <c r="I329" s="180"/>
      <c r="J329" s="180"/>
      <c r="K329" s="180" t="s">
        <v>61</v>
      </c>
      <c r="L329" s="179" t="s">
        <v>209</v>
      </c>
    </row>
    <row r="330" spans="1:15" ht="25.2" customHeight="1" x14ac:dyDescent="0.4">
      <c r="A330" s="681"/>
      <c r="B330" s="175" t="s">
        <v>146</v>
      </c>
      <c r="C330" s="175"/>
      <c r="D330" s="175"/>
      <c r="E330" s="180"/>
      <c r="F330" s="83">
        <f>O330*N330/9</f>
        <v>40908.083333333336</v>
      </c>
      <c r="G330" s="181"/>
      <c r="H330" s="181"/>
      <c r="I330" s="181"/>
      <c r="J330" s="181"/>
      <c r="K330" s="181" t="s">
        <v>62</v>
      </c>
      <c r="L330" s="176" t="s">
        <v>193</v>
      </c>
      <c r="N330" s="1">
        <v>275</v>
      </c>
      <c r="O330" s="43">
        <v>1338.81</v>
      </c>
    </row>
    <row r="331" spans="1:15" ht="25.2" customHeight="1" x14ac:dyDescent="0.4">
      <c r="A331" s="695"/>
      <c r="B331" s="175" t="s">
        <v>146</v>
      </c>
      <c r="C331" s="175"/>
      <c r="D331" s="175"/>
      <c r="E331" s="180"/>
      <c r="F331" s="83"/>
      <c r="G331" s="181"/>
      <c r="H331" s="181"/>
      <c r="I331" s="180">
        <v>20000</v>
      </c>
      <c r="J331" s="180">
        <v>18000</v>
      </c>
      <c r="K331" s="181"/>
      <c r="L331" s="176"/>
      <c r="O331" s="43"/>
    </row>
    <row r="332" spans="1:15" ht="25.2" customHeight="1" x14ac:dyDescent="0.4">
      <c r="A332" s="680">
        <v>44354</v>
      </c>
      <c r="B332" s="175" t="s">
        <v>146</v>
      </c>
      <c r="C332" s="175"/>
      <c r="D332" s="175"/>
      <c r="E332" s="180">
        <v>11800</v>
      </c>
      <c r="F332" s="180"/>
      <c r="G332" s="180"/>
      <c r="H332" s="180"/>
      <c r="I332" s="180"/>
      <c r="J332" s="180"/>
      <c r="K332" s="180" t="s">
        <v>61</v>
      </c>
      <c r="L332" s="179" t="s">
        <v>203</v>
      </c>
      <c r="O332" s="43"/>
    </row>
    <row r="333" spans="1:15" ht="25.2" customHeight="1" x14ac:dyDescent="0.4">
      <c r="A333" s="681"/>
      <c r="B333" s="175" t="s">
        <v>146</v>
      </c>
      <c r="C333" s="175"/>
      <c r="D333" s="175"/>
      <c r="E333" s="180">
        <v>4000</v>
      </c>
      <c r="F333" s="180"/>
      <c r="G333" s="180"/>
      <c r="H333" s="180"/>
      <c r="I333" s="180"/>
      <c r="J333" s="180"/>
      <c r="K333" s="180" t="s">
        <v>61</v>
      </c>
      <c r="L333" s="179" t="s">
        <v>194</v>
      </c>
      <c r="O333" s="43"/>
    </row>
    <row r="334" spans="1:15" ht="25.2" customHeight="1" x14ac:dyDescent="0.4">
      <c r="A334" s="681"/>
      <c r="B334" s="175" t="s">
        <v>146</v>
      </c>
      <c r="C334" s="175"/>
      <c r="D334" s="175"/>
      <c r="E334" s="180"/>
      <c r="F334" s="83">
        <f>O334*N334/9</f>
        <v>40908.083333333336</v>
      </c>
      <c r="G334" s="181"/>
      <c r="H334" s="181"/>
      <c r="I334" s="181"/>
      <c r="J334" s="181"/>
      <c r="K334" s="181" t="s">
        <v>62</v>
      </c>
      <c r="L334" s="176" t="s">
        <v>193</v>
      </c>
      <c r="N334" s="1">
        <v>275</v>
      </c>
      <c r="O334" s="43">
        <v>1338.81</v>
      </c>
    </row>
    <row r="335" spans="1:15" ht="25.2" customHeight="1" x14ac:dyDescent="0.4">
      <c r="A335" s="695"/>
      <c r="B335" s="175" t="s">
        <v>146</v>
      </c>
      <c r="C335" s="175"/>
      <c r="D335" s="175"/>
      <c r="E335" s="180"/>
      <c r="F335" s="84"/>
      <c r="G335" s="180"/>
      <c r="H335" s="180"/>
      <c r="I335" s="180">
        <v>10000</v>
      </c>
      <c r="J335" s="180">
        <v>18000</v>
      </c>
      <c r="K335" s="180"/>
      <c r="L335" s="179"/>
      <c r="O335" s="43"/>
    </row>
    <row r="336" spans="1:15" ht="25.2" customHeight="1" x14ac:dyDescent="0.4">
      <c r="A336" s="175">
        <v>44355</v>
      </c>
      <c r="B336" s="175" t="s">
        <v>146</v>
      </c>
      <c r="C336" s="175"/>
      <c r="D336" s="175"/>
      <c r="E336" s="180"/>
      <c r="F336" s="180"/>
      <c r="G336" s="180"/>
      <c r="H336" s="180"/>
      <c r="I336" s="180">
        <v>10000</v>
      </c>
      <c r="J336" s="180">
        <v>18000</v>
      </c>
      <c r="K336" s="180"/>
      <c r="L336" s="179"/>
    </row>
    <row r="337" spans="1:15" ht="25.2" customHeight="1" x14ac:dyDescent="0.4">
      <c r="A337" s="175">
        <v>44356</v>
      </c>
      <c r="B337" s="175" t="s">
        <v>146</v>
      </c>
      <c r="C337" s="175"/>
      <c r="D337" s="175"/>
      <c r="E337" s="180"/>
      <c r="F337" s="180"/>
      <c r="G337" s="180"/>
      <c r="H337" s="180"/>
      <c r="I337" s="180">
        <v>10000</v>
      </c>
      <c r="J337" s="180">
        <v>18000</v>
      </c>
      <c r="K337" s="180"/>
      <c r="L337" s="179"/>
    </row>
    <row r="338" spans="1:15" ht="25.2" customHeight="1" x14ac:dyDescent="0.4">
      <c r="A338" s="175">
        <v>44357</v>
      </c>
      <c r="B338" s="175" t="s">
        <v>146</v>
      </c>
      <c r="C338" s="175"/>
      <c r="D338" s="175"/>
      <c r="E338" s="180"/>
      <c r="F338" s="180"/>
      <c r="G338" s="180"/>
      <c r="H338" s="180"/>
      <c r="I338" s="180">
        <v>10000</v>
      </c>
      <c r="J338" s="180">
        <v>18000</v>
      </c>
      <c r="K338" s="180"/>
      <c r="L338" s="179"/>
    </row>
    <row r="339" spans="1:15" ht="25.2" customHeight="1" x14ac:dyDescent="0.4">
      <c r="A339" s="175">
        <v>44358</v>
      </c>
      <c r="B339" s="175" t="s">
        <v>146</v>
      </c>
      <c r="C339" s="175"/>
      <c r="D339" s="175"/>
      <c r="E339" s="180"/>
      <c r="F339" s="180"/>
      <c r="G339" s="180"/>
      <c r="H339" s="180"/>
      <c r="I339" s="180">
        <v>10000</v>
      </c>
      <c r="J339" s="180">
        <v>18000</v>
      </c>
      <c r="K339" s="180"/>
      <c r="L339" s="179"/>
    </row>
    <row r="340" spans="1:15" ht="25.2" customHeight="1" x14ac:dyDescent="0.4">
      <c r="A340" s="680">
        <v>44359</v>
      </c>
      <c r="B340" s="175" t="s">
        <v>146</v>
      </c>
      <c r="C340" s="180">
        <v>6500</v>
      </c>
      <c r="D340" s="175"/>
      <c r="E340" s="180"/>
      <c r="F340" s="180"/>
      <c r="G340" s="180"/>
      <c r="H340" s="180"/>
      <c r="I340" s="180"/>
      <c r="J340" s="180"/>
      <c r="K340" s="180" t="s">
        <v>211</v>
      </c>
      <c r="L340" s="179" t="s">
        <v>202</v>
      </c>
    </row>
    <row r="341" spans="1:15" ht="25.2" customHeight="1" x14ac:dyDescent="0.4">
      <c r="A341" s="695"/>
      <c r="B341" s="175" t="s">
        <v>146</v>
      </c>
      <c r="C341" s="175"/>
      <c r="D341" s="175"/>
      <c r="E341" s="180"/>
      <c r="F341" s="180"/>
      <c r="G341" s="180"/>
      <c r="H341" s="180"/>
      <c r="I341" s="180">
        <v>20000</v>
      </c>
      <c r="J341" s="180">
        <v>18000</v>
      </c>
      <c r="K341" s="180"/>
      <c r="L341" s="179"/>
    </row>
    <row r="342" spans="1:15" ht="25.2" customHeight="1" x14ac:dyDescent="0.4">
      <c r="A342" s="175">
        <v>44360</v>
      </c>
      <c r="B342" s="175" t="s">
        <v>146</v>
      </c>
      <c r="C342" s="175"/>
      <c r="D342" s="175"/>
      <c r="E342" s="180"/>
      <c r="F342" s="84"/>
      <c r="G342" s="180"/>
      <c r="H342" s="180"/>
      <c r="I342" s="180">
        <v>20000</v>
      </c>
      <c r="J342" s="180">
        <v>18000</v>
      </c>
      <c r="K342" s="181"/>
      <c r="L342" s="179"/>
      <c r="O342" s="43"/>
    </row>
    <row r="343" spans="1:15" ht="25.2" customHeight="1" x14ac:dyDescent="0.4">
      <c r="A343" s="682" t="s">
        <v>17</v>
      </c>
      <c r="B343" s="683"/>
      <c r="C343" s="181">
        <f>SUM(C328:C342)</f>
        <v>6500</v>
      </c>
      <c r="D343" s="181">
        <f>SUM(D328:D342)</f>
        <v>0</v>
      </c>
      <c r="E343" s="181">
        <f>SUM(E328:E342)</f>
        <v>31200</v>
      </c>
      <c r="F343" s="83">
        <f>ROUNDDOWN(SUM(F328:F342),0)</f>
        <v>81816</v>
      </c>
      <c r="G343" s="181">
        <f>SUM(G328:G328)</f>
        <v>0</v>
      </c>
      <c r="H343" s="181">
        <f>SUM(H328:H328)</f>
        <v>0</v>
      </c>
      <c r="I343" s="181">
        <f>SUM(I328:I342)</f>
        <v>110000</v>
      </c>
      <c r="J343" s="181">
        <f>SUM(J328:J342)</f>
        <v>144000</v>
      </c>
      <c r="K343" s="181"/>
      <c r="L343" s="176" t="s">
        <v>210</v>
      </c>
      <c r="O343" s="43"/>
    </row>
    <row r="344" spans="1:15" ht="25.2" customHeight="1" x14ac:dyDescent="0.4">
      <c r="A344" s="684" t="s">
        <v>18</v>
      </c>
      <c r="B344" s="685"/>
      <c r="C344" s="689">
        <f>SUM(C343:J343)</f>
        <v>373516</v>
      </c>
      <c r="D344" s="690"/>
      <c r="E344" s="690"/>
      <c r="F344" s="690"/>
      <c r="G344" s="690"/>
      <c r="H344" s="690"/>
      <c r="I344" s="690"/>
      <c r="J344" s="691"/>
      <c r="K344" s="178"/>
      <c r="L344" s="177"/>
    </row>
    <row r="346" spans="1:15" ht="25.2" customHeight="1" x14ac:dyDescent="0.4">
      <c r="A346" s="6" t="s">
        <v>0</v>
      </c>
      <c r="B346" s="6" t="s">
        <v>1</v>
      </c>
      <c r="C346" s="6" t="s">
        <v>200</v>
      </c>
      <c r="D346" s="6" t="s">
        <v>201</v>
      </c>
      <c r="E346" s="6" t="s">
        <v>199</v>
      </c>
      <c r="F346" s="6" t="s">
        <v>3</v>
      </c>
      <c r="G346" s="6" t="s">
        <v>4</v>
      </c>
      <c r="H346" s="6" t="s">
        <v>5</v>
      </c>
      <c r="I346" s="6" t="s">
        <v>6</v>
      </c>
      <c r="J346" s="6" t="s">
        <v>7</v>
      </c>
      <c r="K346" s="6" t="s">
        <v>60</v>
      </c>
      <c r="L346" s="6" t="s">
        <v>8</v>
      </c>
    </row>
    <row r="347" spans="1:15" ht="25.2" customHeight="1" x14ac:dyDescent="0.4">
      <c r="A347" s="185">
        <v>44361</v>
      </c>
      <c r="B347" s="185" t="s">
        <v>146</v>
      </c>
      <c r="C347" s="172"/>
      <c r="D347" s="172"/>
      <c r="E347" s="173"/>
      <c r="F347" s="174"/>
      <c r="G347" s="186"/>
      <c r="H347" s="186"/>
      <c r="I347" s="188">
        <v>10000</v>
      </c>
      <c r="J347" s="188">
        <v>18000</v>
      </c>
      <c r="K347" s="186"/>
      <c r="L347" s="183"/>
      <c r="O347" s="43"/>
    </row>
    <row r="348" spans="1:15" ht="25.2" customHeight="1" x14ac:dyDescent="0.4">
      <c r="A348" s="185">
        <v>44362</v>
      </c>
      <c r="B348" s="185" t="s">
        <v>146</v>
      </c>
      <c r="C348" s="172"/>
      <c r="D348" s="172"/>
      <c r="E348" s="173"/>
      <c r="F348" s="173"/>
      <c r="G348" s="188"/>
      <c r="H348" s="188"/>
      <c r="I348" s="188">
        <v>10000</v>
      </c>
      <c r="J348" s="188">
        <v>18000</v>
      </c>
      <c r="K348" s="188"/>
      <c r="L348" s="187"/>
    </row>
    <row r="349" spans="1:15" ht="25.2" customHeight="1" x14ac:dyDescent="0.4">
      <c r="A349" s="185">
        <v>44363</v>
      </c>
      <c r="B349" s="185" t="s">
        <v>146</v>
      </c>
      <c r="C349" s="172"/>
      <c r="D349" s="172"/>
      <c r="E349" s="173"/>
      <c r="F349" s="173"/>
      <c r="G349" s="188"/>
      <c r="H349" s="188"/>
      <c r="I349" s="188">
        <v>10000</v>
      </c>
      <c r="J349" s="188">
        <v>18000</v>
      </c>
      <c r="K349" s="188"/>
      <c r="L349" s="187"/>
    </row>
    <row r="350" spans="1:15" ht="25.2" customHeight="1" x14ac:dyDescent="0.4">
      <c r="A350" s="185">
        <v>44364</v>
      </c>
      <c r="B350" s="185" t="s">
        <v>146</v>
      </c>
      <c r="C350" s="172"/>
      <c r="D350" s="172"/>
      <c r="E350" s="173"/>
      <c r="F350" s="173"/>
      <c r="G350" s="188"/>
      <c r="H350" s="188"/>
      <c r="I350" s="188">
        <v>10000</v>
      </c>
      <c r="J350" s="188">
        <v>18000</v>
      </c>
      <c r="K350" s="188"/>
      <c r="L350" s="187"/>
    </row>
    <row r="351" spans="1:15" ht="25.2" customHeight="1" x14ac:dyDescent="0.4">
      <c r="A351" s="185">
        <v>44365</v>
      </c>
      <c r="B351" s="185" t="s">
        <v>146</v>
      </c>
      <c r="C351" s="172"/>
      <c r="D351" s="172"/>
      <c r="E351" s="173"/>
      <c r="F351" s="173"/>
      <c r="G351" s="188"/>
      <c r="H351" s="188"/>
      <c r="I351" s="188">
        <v>10000</v>
      </c>
      <c r="J351" s="188">
        <v>18000</v>
      </c>
      <c r="K351" s="188"/>
      <c r="L351" s="187"/>
    </row>
    <row r="352" spans="1:15" ht="25.2" customHeight="1" x14ac:dyDescent="0.4">
      <c r="A352" s="680">
        <v>44366</v>
      </c>
      <c r="B352" s="185" t="s">
        <v>146</v>
      </c>
      <c r="C352" s="172"/>
      <c r="D352" s="172"/>
      <c r="E352" s="173"/>
      <c r="F352" s="173"/>
      <c r="G352" s="188"/>
      <c r="H352" s="188"/>
      <c r="I352" s="188">
        <v>20000</v>
      </c>
      <c r="J352" s="188">
        <v>18000</v>
      </c>
      <c r="K352" s="188"/>
      <c r="L352" s="187"/>
    </row>
    <row r="353" spans="1:15" ht="25.2" customHeight="1" x14ac:dyDescent="0.4">
      <c r="A353" s="681"/>
      <c r="B353" s="185" t="s">
        <v>146</v>
      </c>
      <c r="C353" s="172"/>
      <c r="D353" s="172">
        <v>8800</v>
      </c>
      <c r="E353" s="173"/>
      <c r="F353" s="173"/>
      <c r="G353" s="188"/>
      <c r="H353" s="188"/>
      <c r="I353" s="188"/>
      <c r="J353" s="188"/>
      <c r="K353" s="188" t="s">
        <v>212</v>
      </c>
      <c r="L353" s="187"/>
    </row>
    <row r="354" spans="1:15" ht="25.2" customHeight="1" x14ac:dyDescent="0.4">
      <c r="A354" s="695"/>
      <c r="B354" s="185" t="s">
        <v>146</v>
      </c>
      <c r="C354" s="172"/>
      <c r="D354" s="172">
        <v>2200</v>
      </c>
      <c r="E354" s="173"/>
      <c r="F354" s="173"/>
      <c r="G354" s="188"/>
      <c r="H354" s="188"/>
      <c r="I354" s="188"/>
      <c r="J354" s="188"/>
      <c r="K354" s="188" t="s">
        <v>213</v>
      </c>
      <c r="L354" s="187"/>
    </row>
    <row r="355" spans="1:15" ht="25.2" customHeight="1" x14ac:dyDescent="0.4">
      <c r="A355" s="185">
        <v>44367</v>
      </c>
      <c r="B355" s="185" t="s">
        <v>146</v>
      </c>
      <c r="C355" s="172"/>
      <c r="D355" s="172"/>
      <c r="E355" s="173"/>
      <c r="F355" s="173"/>
      <c r="G355" s="188"/>
      <c r="H355" s="188"/>
      <c r="I355" s="188">
        <v>20000</v>
      </c>
      <c r="J355" s="188">
        <v>18000</v>
      </c>
      <c r="K355" s="188"/>
      <c r="L355" s="187"/>
    </row>
    <row r="356" spans="1:15" ht="25.2" customHeight="1" x14ac:dyDescent="0.4">
      <c r="A356" s="682" t="s">
        <v>17</v>
      </c>
      <c r="B356" s="683"/>
      <c r="C356" s="174">
        <f>SUM(C347:C355)</f>
        <v>0</v>
      </c>
      <c r="D356" s="174">
        <f>SUM(D347:D355)</f>
        <v>11000</v>
      </c>
      <c r="E356" s="174">
        <f>SUM(E347:E355)</f>
        <v>0</v>
      </c>
      <c r="F356" s="174">
        <f>ROUNDDOWN(SUM(F347:F355),0)</f>
        <v>0</v>
      </c>
      <c r="G356" s="186" t="e">
        <f>SUM(#REF!)</f>
        <v>#REF!</v>
      </c>
      <c r="H356" s="186" t="e">
        <f>SUM(#REF!)</f>
        <v>#REF!</v>
      </c>
      <c r="I356" s="186">
        <f>SUM(I347:I355)</f>
        <v>90000</v>
      </c>
      <c r="J356" s="186">
        <f>SUM(J347:J355)</f>
        <v>126000</v>
      </c>
      <c r="K356" s="186"/>
      <c r="L356" s="183"/>
      <c r="O356" s="43"/>
    </row>
    <row r="357" spans="1:15" ht="25.2" customHeight="1" x14ac:dyDescent="0.4">
      <c r="A357" s="684" t="s">
        <v>18</v>
      </c>
      <c r="B357" s="685"/>
      <c r="C357" s="689">
        <f>C356+D356+E356+F356+I356+J356</f>
        <v>227000</v>
      </c>
      <c r="D357" s="690"/>
      <c r="E357" s="690"/>
      <c r="F357" s="690"/>
      <c r="G357" s="690"/>
      <c r="H357" s="690"/>
      <c r="I357" s="690"/>
      <c r="J357" s="691"/>
      <c r="K357" s="182"/>
      <c r="L357" s="184"/>
    </row>
    <row r="359" spans="1:15" ht="25.2" customHeight="1" x14ac:dyDescent="0.4">
      <c r="A359" s="6" t="s">
        <v>0</v>
      </c>
      <c r="B359" s="6" t="s">
        <v>1</v>
      </c>
      <c r="C359" s="6" t="s">
        <v>200</v>
      </c>
      <c r="D359" s="6" t="s">
        <v>201</v>
      </c>
      <c r="E359" s="6" t="s">
        <v>199</v>
      </c>
      <c r="F359" s="6" t="s">
        <v>3</v>
      </c>
      <c r="G359" s="6" t="s">
        <v>4</v>
      </c>
      <c r="H359" s="6" t="s">
        <v>5</v>
      </c>
      <c r="I359" s="6" t="s">
        <v>6</v>
      </c>
      <c r="J359" s="6" t="s">
        <v>7</v>
      </c>
      <c r="K359" s="6" t="s">
        <v>60</v>
      </c>
      <c r="L359" s="6" t="s">
        <v>8</v>
      </c>
    </row>
    <row r="360" spans="1:15" ht="25.2" customHeight="1" x14ac:dyDescent="0.4">
      <c r="A360" s="189">
        <v>44368</v>
      </c>
      <c r="B360" s="189" t="s">
        <v>146</v>
      </c>
      <c r="C360" s="172"/>
      <c r="D360" s="172"/>
      <c r="E360" s="173"/>
      <c r="F360" s="174"/>
      <c r="G360" s="195"/>
      <c r="H360" s="195"/>
      <c r="I360" s="194">
        <v>10000</v>
      </c>
      <c r="J360" s="194">
        <v>18000</v>
      </c>
      <c r="K360" s="195"/>
      <c r="L360" s="190"/>
    </row>
    <row r="361" spans="1:15" ht="25.2" customHeight="1" x14ac:dyDescent="0.4">
      <c r="A361" s="189">
        <v>44369</v>
      </c>
      <c r="B361" s="189" t="s">
        <v>146</v>
      </c>
      <c r="C361" s="172"/>
      <c r="D361" s="172"/>
      <c r="E361" s="173"/>
      <c r="F361" s="173"/>
      <c r="G361" s="194"/>
      <c r="H361" s="194"/>
      <c r="I361" s="194">
        <v>10000</v>
      </c>
      <c r="J361" s="194">
        <v>18000</v>
      </c>
      <c r="K361" s="194"/>
      <c r="L361" s="193"/>
    </row>
    <row r="362" spans="1:15" ht="25.2" customHeight="1" x14ac:dyDescent="0.4">
      <c r="A362" s="189">
        <v>44370</v>
      </c>
      <c r="B362" s="189" t="s">
        <v>146</v>
      </c>
      <c r="C362" s="172"/>
      <c r="D362" s="172"/>
      <c r="E362" s="173"/>
      <c r="F362" s="173"/>
      <c r="G362" s="194"/>
      <c r="H362" s="194"/>
      <c r="I362" s="194">
        <v>10000</v>
      </c>
      <c r="J362" s="194">
        <v>18000</v>
      </c>
      <c r="K362" s="194"/>
      <c r="L362" s="193"/>
    </row>
    <row r="363" spans="1:15" ht="25.2" customHeight="1" x14ac:dyDescent="0.4">
      <c r="A363" s="189">
        <v>44371</v>
      </c>
      <c r="B363" s="189" t="s">
        <v>146</v>
      </c>
      <c r="C363" s="172"/>
      <c r="D363" s="172"/>
      <c r="E363" s="173"/>
      <c r="F363" s="173"/>
      <c r="G363" s="194"/>
      <c r="H363" s="194"/>
      <c r="I363" s="194">
        <v>10000</v>
      </c>
      <c r="J363" s="194">
        <v>18000</v>
      </c>
      <c r="K363" s="194"/>
      <c r="L363" s="193"/>
    </row>
    <row r="364" spans="1:15" ht="25.2" customHeight="1" x14ac:dyDescent="0.4">
      <c r="A364" s="680">
        <v>44372</v>
      </c>
      <c r="B364" s="189" t="s">
        <v>146</v>
      </c>
      <c r="C364" s="172"/>
      <c r="D364" s="172"/>
      <c r="E364" s="173"/>
      <c r="F364" s="173"/>
      <c r="G364" s="194"/>
      <c r="H364" s="194"/>
      <c r="I364" s="194">
        <v>10000</v>
      </c>
      <c r="J364" s="194">
        <v>18000</v>
      </c>
      <c r="K364" s="194"/>
      <c r="L364" s="193"/>
    </row>
    <row r="365" spans="1:15" ht="25.2" customHeight="1" x14ac:dyDescent="0.4">
      <c r="A365" s="681"/>
      <c r="B365" s="189" t="s">
        <v>146</v>
      </c>
      <c r="C365" s="189"/>
      <c r="D365" s="189"/>
      <c r="E365" s="194">
        <v>10800</v>
      </c>
      <c r="F365" s="194"/>
      <c r="G365" s="194"/>
      <c r="H365" s="194"/>
      <c r="I365" s="194"/>
      <c r="J365" s="194"/>
      <c r="K365" s="194" t="s">
        <v>61</v>
      </c>
      <c r="L365" s="193" t="s">
        <v>208</v>
      </c>
    </row>
    <row r="366" spans="1:15" ht="25.2" customHeight="1" x14ac:dyDescent="0.4">
      <c r="A366" s="681"/>
      <c r="B366" s="189" t="s">
        <v>146</v>
      </c>
      <c r="C366" s="189"/>
      <c r="D366" s="189"/>
      <c r="E366" s="194">
        <v>4200</v>
      </c>
      <c r="F366" s="194"/>
      <c r="G366" s="194"/>
      <c r="H366" s="194"/>
      <c r="I366" s="194"/>
      <c r="J366" s="194"/>
      <c r="K366" s="194" t="s">
        <v>61</v>
      </c>
      <c r="L366" s="193" t="s">
        <v>209</v>
      </c>
    </row>
    <row r="367" spans="1:15" ht="25.2" customHeight="1" x14ac:dyDescent="0.4">
      <c r="A367" s="695"/>
      <c r="B367" s="189" t="s">
        <v>146</v>
      </c>
      <c r="C367" s="189"/>
      <c r="D367" s="189"/>
      <c r="E367" s="194"/>
      <c r="F367" s="83">
        <f>O367*N367/9</f>
        <v>40908.083333333336</v>
      </c>
      <c r="G367" s="195"/>
      <c r="H367" s="195"/>
      <c r="I367" s="195"/>
      <c r="J367" s="195"/>
      <c r="K367" s="195"/>
      <c r="L367" s="190" t="s">
        <v>193</v>
      </c>
      <c r="N367" s="1">
        <v>275</v>
      </c>
      <c r="O367" s="43">
        <v>1338.81</v>
      </c>
    </row>
    <row r="368" spans="1:15" ht="25.2" customHeight="1" x14ac:dyDescent="0.4">
      <c r="A368" s="680">
        <v>44375</v>
      </c>
      <c r="B368" s="189" t="s">
        <v>146</v>
      </c>
      <c r="C368" s="172"/>
      <c r="D368" s="172"/>
      <c r="E368" s="173"/>
      <c r="F368" s="173"/>
      <c r="G368" s="194"/>
      <c r="H368" s="194"/>
      <c r="I368" s="194">
        <v>10000</v>
      </c>
      <c r="J368" s="194">
        <v>18000</v>
      </c>
      <c r="K368" s="194"/>
      <c r="L368" s="193"/>
    </row>
    <row r="369" spans="1:15" ht="25.2" customHeight="1" x14ac:dyDescent="0.4">
      <c r="A369" s="681"/>
      <c r="B369" s="189" t="s">
        <v>146</v>
      </c>
      <c r="C369" s="189"/>
      <c r="D369" s="189"/>
      <c r="E369" s="194">
        <v>11800</v>
      </c>
      <c r="F369" s="194"/>
      <c r="G369" s="194"/>
      <c r="H369" s="194"/>
      <c r="I369" s="194"/>
      <c r="J369" s="194"/>
      <c r="K369" s="195" t="s">
        <v>62</v>
      </c>
      <c r="L369" s="193" t="s">
        <v>203</v>
      </c>
      <c r="O369" s="43"/>
    </row>
    <row r="370" spans="1:15" ht="25.2" customHeight="1" x14ac:dyDescent="0.4">
      <c r="A370" s="681"/>
      <c r="B370" s="189" t="s">
        <v>146</v>
      </c>
      <c r="C370" s="189"/>
      <c r="D370" s="189"/>
      <c r="E370" s="194">
        <v>4000</v>
      </c>
      <c r="F370" s="194"/>
      <c r="G370" s="194"/>
      <c r="H370" s="194"/>
      <c r="I370" s="194"/>
      <c r="J370" s="194"/>
      <c r="K370" s="195" t="s">
        <v>62</v>
      </c>
      <c r="L370" s="193" t="s">
        <v>194</v>
      </c>
      <c r="O370" s="43"/>
    </row>
    <row r="371" spans="1:15" ht="25.2" customHeight="1" x14ac:dyDescent="0.4">
      <c r="A371" s="695"/>
      <c r="B371" s="189" t="s">
        <v>146</v>
      </c>
      <c r="C371" s="189"/>
      <c r="D371" s="189"/>
      <c r="E371" s="194"/>
      <c r="F371" s="83">
        <f>O371*N371/9</f>
        <v>40908.083333333336</v>
      </c>
      <c r="G371" s="195"/>
      <c r="H371" s="195"/>
      <c r="I371" s="195"/>
      <c r="J371" s="195"/>
      <c r="K371" s="195"/>
      <c r="L371" s="190" t="s">
        <v>193</v>
      </c>
      <c r="N371" s="1">
        <v>275</v>
      </c>
      <c r="O371" s="43">
        <v>1338.81</v>
      </c>
    </row>
    <row r="372" spans="1:15" ht="25.2" customHeight="1" x14ac:dyDescent="0.4">
      <c r="A372" s="189">
        <v>44376</v>
      </c>
      <c r="B372" s="189" t="s">
        <v>146</v>
      </c>
      <c r="C372" s="172"/>
      <c r="D372" s="172"/>
      <c r="E372" s="173"/>
      <c r="F372" s="173"/>
      <c r="G372" s="194"/>
      <c r="H372" s="194"/>
      <c r="I372" s="194">
        <v>10000</v>
      </c>
      <c r="J372" s="194">
        <v>18000</v>
      </c>
      <c r="K372" s="194"/>
      <c r="L372" s="193"/>
    </row>
    <row r="373" spans="1:15" ht="25.2" customHeight="1" x14ac:dyDescent="0.4">
      <c r="A373" s="189">
        <v>44377</v>
      </c>
      <c r="B373" s="189" t="s">
        <v>146</v>
      </c>
      <c r="C373" s="172"/>
      <c r="D373" s="172"/>
      <c r="E373" s="173"/>
      <c r="F373" s="173"/>
      <c r="G373" s="194"/>
      <c r="H373" s="194"/>
      <c r="I373" s="194">
        <v>10000</v>
      </c>
      <c r="J373" s="194">
        <v>18000</v>
      </c>
      <c r="K373" s="194"/>
      <c r="L373" s="193"/>
    </row>
    <row r="374" spans="1:15" ht="25.2" customHeight="1" x14ac:dyDescent="0.4">
      <c r="A374" s="682" t="s">
        <v>17</v>
      </c>
      <c r="B374" s="683"/>
      <c r="C374" s="174">
        <f>SUM(C360:C373)</f>
        <v>0</v>
      </c>
      <c r="D374" s="174">
        <f>SUM(D360:D373)</f>
        <v>0</v>
      </c>
      <c r="E374" s="174">
        <f>SUM(E360:E373)</f>
        <v>30800</v>
      </c>
      <c r="F374" s="174">
        <f>ROUNDDOWN(SUM(F360:F373),0)</f>
        <v>81816</v>
      </c>
      <c r="G374" s="195" t="e">
        <f>SUM(#REF!)</f>
        <v>#REF!</v>
      </c>
      <c r="H374" s="195" t="e">
        <f>SUM(#REF!)</f>
        <v>#REF!</v>
      </c>
      <c r="I374" s="195">
        <f>SUM(I360:I373)</f>
        <v>80000</v>
      </c>
      <c r="J374" s="195">
        <f>SUM(J360:J373)</f>
        <v>144000</v>
      </c>
      <c r="K374" s="195"/>
      <c r="L374" s="190" t="s">
        <v>214</v>
      </c>
    </row>
    <row r="375" spans="1:15" ht="25.2" customHeight="1" x14ac:dyDescent="0.4">
      <c r="A375" s="684" t="s">
        <v>18</v>
      </c>
      <c r="B375" s="685"/>
      <c r="C375" s="689">
        <f>C374+D374+E374+F374+I374+J374</f>
        <v>336616</v>
      </c>
      <c r="D375" s="690"/>
      <c r="E375" s="690"/>
      <c r="F375" s="690"/>
      <c r="G375" s="690"/>
      <c r="H375" s="690"/>
      <c r="I375" s="690"/>
      <c r="J375" s="691"/>
      <c r="K375" s="192"/>
      <c r="L375" s="191"/>
    </row>
    <row r="377" spans="1:15" ht="25.2" customHeight="1" x14ac:dyDescent="0.4">
      <c r="A377" s="6" t="s">
        <v>0</v>
      </c>
      <c r="B377" s="6" t="s">
        <v>1</v>
      </c>
      <c r="C377" s="6" t="s">
        <v>200</v>
      </c>
      <c r="D377" s="6" t="s">
        <v>201</v>
      </c>
      <c r="E377" s="6" t="s">
        <v>199</v>
      </c>
      <c r="F377" s="6" t="s">
        <v>3</v>
      </c>
      <c r="G377" s="6" t="s">
        <v>4</v>
      </c>
      <c r="H377" s="6" t="s">
        <v>5</v>
      </c>
      <c r="I377" s="6" t="s">
        <v>6</v>
      </c>
      <c r="J377" s="6" t="s">
        <v>7</v>
      </c>
      <c r="K377" s="6" t="s">
        <v>60</v>
      </c>
      <c r="L377" s="6" t="s">
        <v>8</v>
      </c>
    </row>
    <row r="378" spans="1:15" ht="25.2" customHeight="1" x14ac:dyDescent="0.4">
      <c r="A378" s="197" t="s">
        <v>215</v>
      </c>
      <c r="B378" s="197" t="s">
        <v>146</v>
      </c>
      <c r="C378" s="172"/>
      <c r="D378" s="172"/>
      <c r="E378" s="173"/>
      <c r="F378" s="174"/>
      <c r="G378" s="201"/>
      <c r="H378" s="201"/>
      <c r="I378" s="203">
        <v>10000</v>
      </c>
      <c r="J378" s="203">
        <v>18000</v>
      </c>
      <c r="K378" s="201"/>
      <c r="L378" s="199"/>
    </row>
    <row r="379" spans="1:15" ht="25.2" customHeight="1" x14ac:dyDescent="0.4">
      <c r="A379" s="680" t="s">
        <v>216</v>
      </c>
      <c r="B379" s="197" t="s">
        <v>146</v>
      </c>
      <c r="C379" s="172"/>
      <c r="D379" s="172"/>
      <c r="E379" s="173"/>
      <c r="F379" s="173"/>
      <c r="G379" s="203"/>
      <c r="H379" s="203"/>
      <c r="I379" s="203">
        <v>10000</v>
      </c>
      <c r="J379" s="203">
        <v>18000</v>
      </c>
      <c r="K379" s="203"/>
      <c r="L379" s="202"/>
    </row>
    <row r="380" spans="1:15" ht="25.2" customHeight="1" x14ac:dyDescent="0.4">
      <c r="A380" s="681"/>
      <c r="B380" s="197" t="s">
        <v>146</v>
      </c>
      <c r="C380" s="172"/>
      <c r="D380" s="172"/>
      <c r="E380" s="173">
        <v>10800</v>
      </c>
      <c r="F380" s="173"/>
      <c r="G380" s="203"/>
      <c r="H380" s="203"/>
      <c r="I380" s="203"/>
      <c r="J380" s="203"/>
      <c r="K380" s="203" t="s">
        <v>61</v>
      </c>
      <c r="L380" s="202" t="s">
        <v>208</v>
      </c>
    </row>
    <row r="381" spans="1:15" ht="25.2" customHeight="1" x14ac:dyDescent="0.4">
      <c r="A381" s="681"/>
      <c r="B381" s="197" t="s">
        <v>146</v>
      </c>
      <c r="C381" s="172"/>
      <c r="D381" s="172"/>
      <c r="E381" s="173">
        <v>4200</v>
      </c>
      <c r="F381" s="173"/>
      <c r="G381" s="203"/>
      <c r="H381" s="203"/>
      <c r="I381" s="203"/>
      <c r="J381" s="203"/>
      <c r="K381" s="203" t="s">
        <v>217</v>
      </c>
      <c r="L381" s="202" t="s">
        <v>209</v>
      </c>
    </row>
    <row r="382" spans="1:15" ht="25.2" customHeight="1" x14ac:dyDescent="0.4">
      <c r="A382" s="695"/>
      <c r="B382" s="197" t="s">
        <v>146</v>
      </c>
      <c r="C382" s="197"/>
      <c r="D382" s="197"/>
      <c r="E382" s="203"/>
      <c r="F382" s="83">
        <f>O382*N382/9</f>
        <v>41994.333333333336</v>
      </c>
      <c r="G382" s="201"/>
      <c r="H382" s="201"/>
      <c r="I382" s="201"/>
      <c r="J382" s="201"/>
      <c r="K382" s="201" t="s">
        <v>218</v>
      </c>
      <c r="L382" s="199" t="s">
        <v>221</v>
      </c>
      <c r="N382" s="1">
        <v>275</v>
      </c>
      <c r="O382" s="43">
        <v>1374.36</v>
      </c>
    </row>
    <row r="383" spans="1:15" ht="25.2" customHeight="1" x14ac:dyDescent="0.4">
      <c r="A383" s="682" t="s">
        <v>17</v>
      </c>
      <c r="B383" s="683"/>
      <c r="C383" s="174">
        <f>SUM(C378:C382)</f>
        <v>0</v>
      </c>
      <c r="D383" s="174">
        <f>SUM(D378:D382)</f>
        <v>0</v>
      </c>
      <c r="E383" s="174">
        <f>SUM(E378:E382)</f>
        <v>15000</v>
      </c>
      <c r="F383" s="174">
        <f>ROUNDDOWN(SUM(F378:F382),0)</f>
        <v>41994</v>
      </c>
      <c r="G383" s="201" t="e">
        <f>SUM(#REF!)</f>
        <v>#REF!</v>
      </c>
      <c r="H383" s="201" t="e">
        <f>SUM(#REF!)</f>
        <v>#REF!</v>
      </c>
      <c r="I383" s="201">
        <f>SUM(I378:I382)</f>
        <v>20000</v>
      </c>
      <c r="J383" s="201">
        <f>SUM(J378:J382)</f>
        <v>36000</v>
      </c>
      <c r="K383" s="201" t="s">
        <v>219</v>
      </c>
      <c r="L383" s="199" t="s">
        <v>220</v>
      </c>
    </row>
    <row r="384" spans="1:15" ht="25.2" customHeight="1" x14ac:dyDescent="0.4">
      <c r="A384" s="684" t="s">
        <v>18</v>
      </c>
      <c r="B384" s="685"/>
      <c r="C384" s="689">
        <f>C383+D383+E383+F383+I383+J383</f>
        <v>112994</v>
      </c>
      <c r="D384" s="690"/>
      <c r="E384" s="690"/>
      <c r="F384" s="690"/>
      <c r="G384" s="690"/>
      <c r="H384" s="690"/>
      <c r="I384" s="690"/>
      <c r="J384" s="691"/>
      <c r="K384" s="198"/>
      <c r="L384" s="200"/>
      <c r="M384" s="1" t="s">
        <v>222</v>
      </c>
    </row>
    <row r="386" spans="1:15" ht="25.2" customHeight="1" x14ac:dyDescent="0.4">
      <c r="A386" s="6" t="s">
        <v>0</v>
      </c>
      <c r="B386" s="6" t="s">
        <v>1</v>
      </c>
      <c r="C386" s="6" t="s">
        <v>200</v>
      </c>
      <c r="D386" s="6" t="s">
        <v>201</v>
      </c>
      <c r="E386" s="6" t="s">
        <v>74</v>
      </c>
      <c r="F386" s="6" t="s">
        <v>3</v>
      </c>
      <c r="G386" s="6" t="s">
        <v>4</v>
      </c>
      <c r="H386" s="6" t="s">
        <v>5</v>
      </c>
      <c r="I386" s="6" t="s">
        <v>6</v>
      </c>
      <c r="J386" s="6" t="s">
        <v>7</v>
      </c>
      <c r="K386" s="6" t="s">
        <v>60</v>
      </c>
      <c r="L386" s="6" t="s">
        <v>8</v>
      </c>
    </row>
    <row r="387" spans="1:15" ht="25.2" customHeight="1" x14ac:dyDescent="0.4">
      <c r="A387" s="680" t="s">
        <v>223</v>
      </c>
      <c r="B387" s="204" t="s">
        <v>146</v>
      </c>
      <c r="C387" s="172"/>
      <c r="D387" s="172"/>
      <c r="E387" s="173"/>
      <c r="F387" s="173"/>
      <c r="G387" s="209"/>
      <c r="H387" s="209"/>
      <c r="I387" s="209"/>
      <c r="J387" s="209">
        <v>28500</v>
      </c>
      <c r="K387" s="209" t="s">
        <v>64</v>
      </c>
      <c r="L387" s="208" t="s">
        <v>228</v>
      </c>
    </row>
    <row r="388" spans="1:15" ht="25.2" customHeight="1" x14ac:dyDescent="0.4">
      <c r="A388" s="681"/>
      <c r="B388" s="204" t="s">
        <v>146</v>
      </c>
      <c r="C388" s="204"/>
      <c r="D388" s="204"/>
      <c r="E388" s="209">
        <v>11500</v>
      </c>
      <c r="F388" s="209"/>
      <c r="G388" s="209"/>
      <c r="H388" s="209"/>
      <c r="I388" s="209"/>
      <c r="J388" s="209"/>
      <c r="K388" s="209" t="s">
        <v>61</v>
      </c>
      <c r="L388" s="208" t="s">
        <v>225</v>
      </c>
      <c r="O388" s="43"/>
    </row>
    <row r="389" spans="1:15" ht="25.2" customHeight="1" x14ac:dyDescent="0.4">
      <c r="A389" s="681"/>
      <c r="B389" s="204" t="s">
        <v>146</v>
      </c>
      <c r="C389" s="204"/>
      <c r="D389" s="204"/>
      <c r="E389" s="209">
        <v>3700</v>
      </c>
      <c r="F389" s="209"/>
      <c r="G389" s="209"/>
      <c r="H389" s="209"/>
      <c r="I389" s="209"/>
      <c r="J389" s="209"/>
      <c r="K389" s="209" t="s">
        <v>61</v>
      </c>
      <c r="L389" s="208" t="s">
        <v>226</v>
      </c>
      <c r="O389" s="43"/>
    </row>
    <row r="390" spans="1:15" ht="25.2" customHeight="1" x14ac:dyDescent="0.4">
      <c r="A390" s="681"/>
      <c r="B390" s="204" t="s">
        <v>146</v>
      </c>
      <c r="C390" s="204"/>
      <c r="D390" s="204"/>
      <c r="E390" s="209"/>
      <c r="F390" s="83">
        <f>O390*N390/9</f>
        <v>41994.333333333336</v>
      </c>
      <c r="G390" s="210"/>
      <c r="H390" s="210"/>
      <c r="I390" s="210"/>
      <c r="J390" s="210"/>
      <c r="K390" s="210"/>
      <c r="L390" s="205" t="s">
        <v>193</v>
      </c>
      <c r="N390" s="1">
        <v>275</v>
      </c>
      <c r="O390" s="43">
        <v>1374.36</v>
      </c>
    </row>
    <row r="391" spans="1:15" ht="25.2" customHeight="1" x14ac:dyDescent="0.4">
      <c r="A391" s="681"/>
      <c r="B391" s="204" t="s">
        <v>146</v>
      </c>
      <c r="C391" s="204"/>
      <c r="D391" s="209">
        <v>125000</v>
      </c>
      <c r="E391" s="209"/>
      <c r="F391" s="84"/>
      <c r="G391" s="209"/>
      <c r="H391" s="209"/>
      <c r="I391" s="209"/>
      <c r="J391" s="209"/>
      <c r="K391" s="210" t="s">
        <v>126</v>
      </c>
      <c r="L391" s="208" t="s">
        <v>230</v>
      </c>
      <c r="O391" s="43"/>
    </row>
    <row r="392" spans="1:15" ht="25.2" customHeight="1" x14ac:dyDescent="0.4">
      <c r="A392" s="695"/>
      <c r="B392" s="204" t="s">
        <v>146</v>
      </c>
      <c r="C392" s="204"/>
      <c r="D392" s="204"/>
      <c r="E392" s="209"/>
      <c r="F392" s="84"/>
      <c r="G392" s="209"/>
      <c r="H392" s="209"/>
      <c r="I392" s="209"/>
      <c r="J392" s="209">
        <v>117500</v>
      </c>
      <c r="K392" s="210" t="s">
        <v>66</v>
      </c>
      <c r="L392" s="208" t="s">
        <v>229</v>
      </c>
      <c r="O392" s="43"/>
    </row>
    <row r="393" spans="1:15" ht="25.2" customHeight="1" x14ac:dyDescent="0.4">
      <c r="A393" s="680" t="s">
        <v>224</v>
      </c>
      <c r="B393" s="204" t="s">
        <v>146</v>
      </c>
      <c r="C393" s="172"/>
      <c r="D393" s="172"/>
      <c r="E393" s="173"/>
      <c r="F393" s="173"/>
      <c r="G393" s="209"/>
      <c r="H393" s="209"/>
      <c r="I393" s="209"/>
      <c r="J393" s="209">
        <v>11500</v>
      </c>
      <c r="K393" s="210" t="s">
        <v>67</v>
      </c>
      <c r="L393" s="208" t="s">
        <v>231</v>
      </c>
    </row>
    <row r="394" spans="1:15" ht="25.2" customHeight="1" x14ac:dyDescent="0.4">
      <c r="A394" s="681"/>
      <c r="B394" s="204" t="s">
        <v>146</v>
      </c>
      <c r="C394" s="172"/>
      <c r="D394" s="172"/>
      <c r="E394" s="173">
        <v>10800</v>
      </c>
      <c r="F394" s="173"/>
      <c r="G394" s="209"/>
      <c r="H394" s="209"/>
      <c r="I394" s="209"/>
      <c r="J394" s="209"/>
      <c r="K394" s="209" t="s">
        <v>62</v>
      </c>
      <c r="L394" s="208" t="s">
        <v>208</v>
      </c>
    </row>
    <row r="395" spans="1:15" ht="25.2" customHeight="1" x14ac:dyDescent="0.4">
      <c r="A395" s="681"/>
      <c r="B395" s="204" t="s">
        <v>146</v>
      </c>
      <c r="C395" s="172"/>
      <c r="D395" s="172"/>
      <c r="E395" s="173">
        <v>3900</v>
      </c>
      <c r="F395" s="173"/>
      <c r="G395" s="209"/>
      <c r="H395" s="209"/>
      <c r="I395" s="209"/>
      <c r="J395" s="209"/>
      <c r="K395" s="209" t="s">
        <v>62</v>
      </c>
      <c r="L395" s="208" t="s">
        <v>227</v>
      </c>
    </row>
    <row r="396" spans="1:15" ht="25.2" customHeight="1" x14ac:dyDescent="0.4">
      <c r="A396" s="695"/>
      <c r="B396" s="204" t="s">
        <v>146</v>
      </c>
      <c r="C396" s="204"/>
      <c r="D396" s="204"/>
      <c r="E396" s="209"/>
      <c r="F396" s="83">
        <f>O396*N396/9</f>
        <v>41994.333333333336</v>
      </c>
      <c r="G396" s="210"/>
      <c r="H396" s="210"/>
      <c r="I396" s="210"/>
      <c r="J396" s="210"/>
      <c r="K396" s="210"/>
      <c r="L396" s="205" t="s">
        <v>193</v>
      </c>
      <c r="N396" s="1">
        <v>275</v>
      </c>
      <c r="O396" s="43">
        <v>1374.36</v>
      </c>
    </row>
    <row r="397" spans="1:15" ht="25.2" customHeight="1" x14ac:dyDescent="0.4">
      <c r="A397" s="682" t="s">
        <v>17</v>
      </c>
      <c r="B397" s="683"/>
      <c r="C397" s="174">
        <f>SUM(C387:C396)</f>
        <v>0</v>
      </c>
      <c r="D397" s="174">
        <f>SUM(D387:D396)</f>
        <v>125000</v>
      </c>
      <c r="E397" s="174">
        <f>SUM(E387:E396)</f>
        <v>29900</v>
      </c>
      <c r="F397" s="174">
        <f>ROUNDDOWN(SUM(F387:F396),0)</f>
        <v>83988</v>
      </c>
      <c r="G397" s="210" t="e">
        <f>SUM(#REF!)</f>
        <v>#REF!</v>
      </c>
      <c r="H397" s="210" t="e">
        <f>SUM(#REF!)</f>
        <v>#REF!</v>
      </c>
      <c r="I397" s="210">
        <f>SUM(I387:I396)</f>
        <v>0</v>
      </c>
      <c r="J397" s="210">
        <f>SUM(J387:J396)</f>
        <v>157500</v>
      </c>
      <c r="K397" s="210"/>
      <c r="L397" s="205" t="s">
        <v>220</v>
      </c>
    </row>
    <row r="398" spans="1:15" ht="25.2" customHeight="1" x14ac:dyDescent="0.4">
      <c r="A398" s="684" t="s">
        <v>18</v>
      </c>
      <c r="B398" s="685"/>
      <c r="C398" s="689">
        <f>C397+D397+E397+F397+I397+J397</f>
        <v>396388</v>
      </c>
      <c r="D398" s="690"/>
      <c r="E398" s="690"/>
      <c r="F398" s="690"/>
      <c r="G398" s="690"/>
      <c r="H398" s="690"/>
      <c r="I398" s="690"/>
      <c r="J398" s="691"/>
      <c r="K398" s="207"/>
      <c r="L398" s="206"/>
    </row>
    <row r="400" spans="1:15" ht="25.2" customHeight="1" x14ac:dyDescent="0.4">
      <c r="A400" s="6" t="s">
        <v>0</v>
      </c>
      <c r="B400" s="6" t="s">
        <v>1</v>
      </c>
      <c r="C400" s="6" t="s">
        <v>200</v>
      </c>
      <c r="D400" s="6" t="s">
        <v>5</v>
      </c>
      <c r="E400" s="6" t="s">
        <v>74</v>
      </c>
      <c r="F400" s="6" t="s">
        <v>3</v>
      </c>
      <c r="G400" s="6" t="s">
        <v>4</v>
      </c>
      <c r="H400" s="6" t="s">
        <v>5</v>
      </c>
      <c r="I400" s="6" t="s">
        <v>6</v>
      </c>
      <c r="J400" s="6" t="s">
        <v>7</v>
      </c>
      <c r="K400" s="6" t="s">
        <v>60</v>
      </c>
      <c r="L400" s="6" t="s">
        <v>8</v>
      </c>
    </row>
    <row r="401" spans="1:15" ht="25.2" customHeight="1" x14ac:dyDescent="0.4">
      <c r="A401" s="680" t="s">
        <v>232</v>
      </c>
      <c r="B401" s="708" t="s">
        <v>235</v>
      </c>
      <c r="C401" s="172"/>
      <c r="D401" s="172"/>
      <c r="E401" s="173"/>
      <c r="F401" s="173"/>
      <c r="G401" s="217"/>
      <c r="H401" s="217"/>
      <c r="I401" s="217"/>
      <c r="J401" s="217">
        <v>7000</v>
      </c>
      <c r="K401" s="217" t="s">
        <v>61</v>
      </c>
      <c r="L401" s="216" t="s">
        <v>135</v>
      </c>
    </row>
    <row r="402" spans="1:15" ht="25.2" customHeight="1" x14ac:dyDescent="0.4">
      <c r="A402" s="681"/>
      <c r="B402" s="709"/>
      <c r="C402" s="211"/>
      <c r="D402" s="211"/>
      <c r="E402" s="217">
        <v>3000</v>
      </c>
      <c r="F402" s="217"/>
      <c r="G402" s="217"/>
      <c r="H402" s="217"/>
      <c r="I402" s="217"/>
      <c r="J402" s="217"/>
      <c r="K402" s="217" t="s">
        <v>62</v>
      </c>
      <c r="L402" s="216" t="s">
        <v>238</v>
      </c>
      <c r="O402" s="43"/>
    </row>
    <row r="403" spans="1:15" ht="25.2" customHeight="1" x14ac:dyDescent="0.4">
      <c r="A403" s="681"/>
      <c r="B403" s="709"/>
      <c r="C403" s="211"/>
      <c r="D403" s="211"/>
      <c r="E403" s="217">
        <v>2600</v>
      </c>
      <c r="F403" s="217"/>
      <c r="G403" s="217"/>
      <c r="H403" s="217"/>
      <c r="I403" s="217"/>
      <c r="J403" s="217"/>
      <c r="K403" s="217" t="s">
        <v>62</v>
      </c>
      <c r="L403" s="216" t="s">
        <v>239</v>
      </c>
      <c r="O403" s="43"/>
    </row>
    <row r="404" spans="1:15" ht="25.2" customHeight="1" x14ac:dyDescent="0.4">
      <c r="A404" s="681"/>
      <c r="B404" s="710"/>
      <c r="C404" s="211"/>
      <c r="D404" s="211"/>
      <c r="E404" s="217"/>
      <c r="F404" s="83">
        <f>O404*N404/9</f>
        <v>16797.73333333333</v>
      </c>
      <c r="G404" s="215"/>
      <c r="H404" s="215"/>
      <c r="I404" s="215"/>
      <c r="J404" s="215"/>
      <c r="K404" s="217" t="s">
        <v>67</v>
      </c>
      <c r="L404" s="212" t="s">
        <v>176</v>
      </c>
      <c r="N404" s="1">
        <v>110</v>
      </c>
      <c r="O404" s="43">
        <v>1374.36</v>
      </c>
    </row>
    <row r="405" spans="1:15" ht="25.2" customHeight="1" x14ac:dyDescent="0.4">
      <c r="A405" s="680" t="s">
        <v>233</v>
      </c>
      <c r="B405" s="708" t="s">
        <v>236</v>
      </c>
      <c r="C405" s="172"/>
      <c r="D405" s="172"/>
      <c r="E405" s="173"/>
      <c r="F405" s="173"/>
      <c r="G405" s="217"/>
      <c r="H405" s="217"/>
      <c r="I405" s="217"/>
      <c r="J405" s="217">
        <v>5500</v>
      </c>
      <c r="K405" s="217" t="s">
        <v>64</v>
      </c>
      <c r="L405" s="216" t="s">
        <v>135</v>
      </c>
    </row>
    <row r="406" spans="1:15" ht="25.2" customHeight="1" x14ac:dyDescent="0.4">
      <c r="A406" s="681"/>
      <c r="B406" s="709"/>
      <c r="C406" s="211"/>
      <c r="D406" s="211"/>
      <c r="E406" s="217">
        <v>3000</v>
      </c>
      <c r="F406" s="217"/>
      <c r="G406" s="217"/>
      <c r="H406" s="217"/>
      <c r="I406" s="217"/>
      <c r="J406" s="217"/>
      <c r="K406" s="217" t="s">
        <v>62</v>
      </c>
      <c r="L406" s="216" t="s">
        <v>238</v>
      </c>
      <c r="O406" s="43"/>
    </row>
    <row r="407" spans="1:15" ht="25.2" customHeight="1" x14ac:dyDescent="0.4">
      <c r="A407" s="681"/>
      <c r="B407" s="709"/>
      <c r="C407" s="211"/>
      <c r="D407" s="211"/>
      <c r="E407" s="217">
        <v>3000</v>
      </c>
      <c r="F407" s="217"/>
      <c r="G407" s="217"/>
      <c r="H407" s="217"/>
      <c r="I407" s="217"/>
      <c r="J407" s="217"/>
      <c r="K407" s="217" t="s">
        <v>62</v>
      </c>
      <c r="L407" s="216" t="s">
        <v>240</v>
      </c>
      <c r="O407" s="43"/>
    </row>
    <row r="408" spans="1:15" ht="25.2" customHeight="1" x14ac:dyDescent="0.4">
      <c r="A408" s="681"/>
      <c r="B408" s="710"/>
      <c r="C408" s="211"/>
      <c r="D408" s="211"/>
      <c r="E408" s="217"/>
      <c r="F408" s="83">
        <f>O408*N408/9</f>
        <v>16797.73333333333</v>
      </c>
      <c r="G408" s="215"/>
      <c r="H408" s="215"/>
      <c r="I408" s="215"/>
      <c r="J408" s="215"/>
      <c r="K408" s="217" t="s">
        <v>67</v>
      </c>
      <c r="L408" s="212" t="s">
        <v>176</v>
      </c>
      <c r="N408" s="1">
        <v>110</v>
      </c>
      <c r="O408" s="43">
        <v>1374.36</v>
      </c>
    </row>
    <row r="409" spans="1:15" ht="25.2" customHeight="1" x14ac:dyDescent="0.4">
      <c r="A409" s="680" t="s">
        <v>234</v>
      </c>
      <c r="B409" s="708" t="s">
        <v>237</v>
      </c>
      <c r="C409" s="172"/>
      <c r="D409" s="172"/>
      <c r="E409" s="173"/>
      <c r="F409" s="173"/>
      <c r="G409" s="217"/>
      <c r="H409" s="217"/>
      <c r="I409" s="217"/>
      <c r="J409" s="217">
        <v>5500</v>
      </c>
      <c r="K409" s="215" t="s">
        <v>65</v>
      </c>
      <c r="L409" s="216" t="s">
        <v>135</v>
      </c>
    </row>
    <row r="410" spans="1:15" ht="25.2" customHeight="1" x14ac:dyDescent="0.4">
      <c r="A410" s="681"/>
      <c r="B410" s="709"/>
      <c r="C410" s="172"/>
      <c r="D410" s="172"/>
      <c r="E410" s="173">
        <v>3000</v>
      </c>
      <c r="F410" s="173"/>
      <c r="G410" s="217"/>
      <c r="H410" s="217"/>
      <c r="I410" s="217"/>
      <c r="J410" s="217"/>
      <c r="K410" s="217" t="s">
        <v>62</v>
      </c>
      <c r="L410" s="216" t="s">
        <v>238</v>
      </c>
    </row>
    <row r="411" spans="1:15" ht="25.2" customHeight="1" x14ac:dyDescent="0.4">
      <c r="A411" s="681"/>
      <c r="B411" s="709"/>
      <c r="C411" s="172"/>
      <c r="D411" s="172"/>
      <c r="E411" s="173">
        <v>3000</v>
      </c>
      <c r="F411" s="173"/>
      <c r="G411" s="217"/>
      <c r="H411" s="217"/>
      <c r="I411" s="217"/>
      <c r="J411" s="217"/>
      <c r="K411" s="217" t="s">
        <v>62</v>
      </c>
      <c r="L411" s="216" t="s">
        <v>240</v>
      </c>
    </row>
    <row r="412" spans="1:15" ht="25.2" customHeight="1" x14ac:dyDescent="0.4">
      <c r="A412" s="695"/>
      <c r="B412" s="710"/>
      <c r="C412" s="211"/>
      <c r="D412" s="211"/>
      <c r="E412" s="217"/>
      <c r="F412" s="83">
        <f>O412*N412/9</f>
        <v>16797.73333333333</v>
      </c>
      <c r="G412" s="215"/>
      <c r="H412" s="215"/>
      <c r="I412" s="215"/>
      <c r="J412" s="215"/>
      <c r="K412" s="217" t="s">
        <v>67</v>
      </c>
      <c r="L412" s="212" t="s">
        <v>176</v>
      </c>
      <c r="N412" s="1">
        <v>110</v>
      </c>
      <c r="O412" s="43">
        <v>1374.36</v>
      </c>
    </row>
    <row r="413" spans="1:15" ht="25.2" customHeight="1" x14ac:dyDescent="0.4">
      <c r="A413" s="682" t="s">
        <v>17</v>
      </c>
      <c r="B413" s="683"/>
      <c r="C413" s="174">
        <f>SUM(C401:C412)</f>
        <v>0</v>
      </c>
      <c r="D413" s="174">
        <f>SUM(D401:D412)</f>
        <v>0</v>
      </c>
      <c r="E413" s="174">
        <f>SUM(E401:E412)</f>
        <v>17600</v>
      </c>
      <c r="F413" s="174">
        <f>ROUNDDOWN(SUM(F401:F412),0)</f>
        <v>50393</v>
      </c>
      <c r="G413" s="215" t="e">
        <f>SUM(#REF!)</f>
        <v>#REF!</v>
      </c>
      <c r="H413" s="215" t="e">
        <f>SUM(#REF!)</f>
        <v>#REF!</v>
      </c>
      <c r="I413" s="215">
        <f>SUM(I401:I412)</f>
        <v>0</v>
      </c>
      <c r="J413" s="215">
        <f>SUM(J401:J412)</f>
        <v>18000</v>
      </c>
      <c r="K413" s="217" t="s">
        <v>68</v>
      </c>
      <c r="L413" s="212" t="s">
        <v>220</v>
      </c>
    </row>
    <row r="414" spans="1:15" ht="25.2" customHeight="1" x14ac:dyDescent="0.4">
      <c r="A414" s="684" t="s">
        <v>18</v>
      </c>
      <c r="B414" s="685"/>
      <c r="C414" s="689">
        <f>C413+D413+E413+F413+I413+J413</f>
        <v>85993</v>
      </c>
      <c r="D414" s="690"/>
      <c r="E414" s="690"/>
      <c r="F414" s="690"/>
      <c r="G414" s="690"/>
      <c r="H414" s="690"/>
      <c r="I414" s="690"/>
      <c r="J414" s="691"/>
      <c r="K414" s="214"/>
      <c r="L414" s="213"/>
    </row>
    <row r="416" spans="1:15" ht="25.2" customHeight="1" x14ac:dyDescent="0.4">
      <c r="A416" s="6" t="s">
        <v>0</v>
      </c>
      <c r="B416" s="6" t="s">
        <v>1</v>
      </c>
      <c r="C416" s="6" t="s">
        <v>200</v>
      </c>
      <c r="D416" s="6" t="s">
        <v>5</v>
      </c>
      <c r="E416" s="6" t="s">
        <v>74</v>
      </c>
      <c r="F416" s="6" t="s">
        <v>3</v>
      </c>
      <c r="G416" s="6" t="s">
        <v>4</v>
      </c>
      <c r="H416" s="6" t="s">
        <v>5</v>
      </c>
      <c r="I416" s="6" t="s">
        <v>6</v>
      </c>
      <c r="J416" s="6" t="s">
        <v>7</v>
      </c>
      <c r="K416" s="6" t="s">
        <v>60</v>
      </c>
      <c r="L416" s="6" t="s">
        <v>8</v>
      </c>
    </row>
    <row r="417" spans="1:15" ht="25.2" customHeight="1" x14ac:dyDescent="0.4">
      <c r="A417" s="680" t="s">
        <v>241</v>
      </c>
      <c r="B417" s="708" t="s">
        <v>249</v>
      </c>
      <c r="C417" s="172"/>
      <c r="D417" s="172"/>
      <c r="E417" s="173"/>
      <c r="F417" s="173"/>
      <c r="G417" s="223"/>
      <c r="H417" s="223"/>
      <c r="I417" s="223"/>
      <c r="J417" s="223">
        <v>19000</v>
      </c>
      <c r="K417" s="223" t="s">
        <v>61</v>
      </c>
      <c r="L417" s="222" t="s">
        <v>247</v>
      </c>
    </row>
    <row r="418" spans="1:15" ht="25.2" customHeight="1" x14ac:dyDescent="0.4">
      <c r="A418" s="681"/>
      <c r="B418" s="709"/>
      <c r="C418" s="218"/>
      <c r="D418" s="218"/>
      <c r="E418" s="223">
        <v>1800</v>
      </c>
      <c r="F418" s="223"/>
      <c r="G418" s="223"/>
      <c r="H418" s="223"/>
      <c r="I418" s="223"/>
      <c r="J418" s="223"/>
      <c r="K418" s="223" t="s">
        <v>62</v>
      </c>
      <c r="L418" s="222" t="s">
        <v>246</v>
      </c>
      <c r="O418" s="43"/>
    </row>
    <row r="419" spans="1:15" ht="25.2" customHeight="1" x14ac:dyDescent="0.4">
      <c r="A419" s="681"/>
      <c r="B419" s="709"/>
      <c r="C419" s="218"/>
      <c r="D419" s="218"/>
      <c r="E419" s="223">
        <v>1800</v>
      </c>
      <c r="F419" s="223"/>
      <c r="G419" s="223"/>
      <c r="H419" s="223"/>
      <c r="I419" s="223"/>
      <c r="J419" s="223"/>
      <c r="K419" s="223" t="s">
        <v>243</v>
      </c>
      <c r="L419" s="222" t="s">
        <v>242</v>
      </c>
      <c r="O419" s="43"/>
    </row>
    <row r="420" spans="1:15" ht="25.2" customHeight="1" x14ac:dyDescent="0.4">
      <c r="A420" s="681"/>
      <c r="B420" s="710"/>
      <c r="C420" s="218"/>
      <c r="D420" s="218"/>
      <c r="E420" s="223"/>
      <c r="F420" s="83">
        <f>O420*N420/9</f>
        <v>8782.7055555555562</v>
      </c>
      <c r="G420" s="224"/>
      <c r="H420" s="224"/>
      <c r="I420" s="224"/>
      <c r="J420" s="224"/>
      <c r="K420" s="223" t="s">
        <v>244</v>
      </c>
      <c r="L420" s="219" t="s">
        <v>248</v>
      </c>
      <c r="N420" s="1">
        <v>55</v>
      </c>
      <c r="O420" s="43">
        <v>1437.17</v>
      </c>
    </row>
    <row r="421" spans="1:15" ht="25.2" customHeight="1" x14ac:dyDescent="0.4">
      <c r="A421" s="682" t="s">
        <v>17</v>
      </c>
      <c r="B421" s="683"/>
      <c r="C421" s="174">
        <f>SUM(C417:C420)</f>
        <v>0</v>
      </c>
      <c r="D421" s="174">
        <f>SUM(D417:D420)</f>
        <v>0</v>
      </c>
      <c r="E421" s="174">
        <f>SUM(E417:E420)</f>
        <v>3600</v>
      </c>
      <c r="F421" s="174">
        <f>ROUNDDOWN(SUM(F417:F420),0)</f>
        <v>8782</v>
      </c>
      <c r="G421" s="224" t="e">
        <f>SUM(#REF!)</f>
        <v>#REF!</v>
      </c>
      <c r="H421" s="224" t="e">
        <f>SUM(#REF!)</f>
        <v>#REF!</v>
      </c>
      <c r="I421" s="224">
        <f>SUM(I417:I420)</f>
        <v>0</v>
      </c>
      <c r="J421" s="224">
        <f>SUM(J417:J420)</f>
        <v>19000</v>
      </c>
      <c r="K421" s="223" t="s">
        <v>245</v>
      </c>
      <c r="L421" s="219" t="s">
        <v>250</v>
      </c>
    </row>
    <row r="422" spans="1:15" ht="25.2" customHeight="1" x14ac:dyDescent="0.4">
      <c r="A422" s="684" t="s">
        <v>18</v>
      </c>
      <c r="B422" s="685"/>
      <c r="C422" s="689">
        <f>C421+D421+E421+F421+I421+J421</f>
        <v>31382</v>
      </c>
      <c r="D422" s="690"/>
      <c r="E422" s="690"/>
      <c r="F422" s="690"/>
      <c r="G422" s="690"/>
      <c r="H422" s="690"/>
      <c r="I422" s="690"/>
      <c r="J422" s="691"/>
      <c r="K422" s="221"/>
      <c r="L422" s="220"/>
    </row>
    <row r="424" spans="1:15" ht="25.2" customHeight="1" x14ac:dyDescent="0.4">
      <c r="A424" s="6" t="s">
        <v>0</v>
      </c>
      <c r="B424" s="6" t="s">
        <v>1</v>
      </c>
      <c r="C424" s="6" t="s">
        <v>200</v>
      </c>
      <c r="D424" s="6" t="s">
        <v>5</v>
      </c>
      <c r="E424" s="6" t="s">
        <v>74</v>
      </c>
      <c r="F424" s="6" t="s">
        <v>3</v>
      </c>
      <c r="G424" s="6" t="s">
        <v>4</v>
      </c>
      <c r="H424" s="6" t="s">
        <v>5</v>
      </c>
      <c r="I424" s="6" t="s">
        <v>6</v>
      </c>
      <c r="J424" s="6" t="s">
        <v>7</v>
      </c>
      <c r="K424" s="6" t="s">
        <v>60</v>
      </c>
      <c r="L424" s="6" t="s">
        <v>8</v>
      </c>
    </row>
    <row r="425" spans="1:15" ht="25.2" customHeight="1" x14ac:dyDescent="0.4">
      <c r="A425" s="225">
        <v>44537</v>
      </c>
      <c r="B425" s="226" t="s">
        <v>251</v>
      </c>
      <c r="C425" s="172"/>
      <c r="D425" s="172"/>
      <c r="E425" s="173">
        <v>12000</v>
      </c>
      <c r="F425" s="173"/>
      <c r="G425" s="231"/>
      <c r="H425" s="231"/>
      <c r="I425" s="231"/>
      <c r="J425" s="231"/>
      <c r="K425" s="231" t="s">
        <v>61</v>
      </c>
      <c r="L425" s="230" t="s">
        <v>252</v>
      </c>
    </row>
    <row r="426" spans="1:15" ht="25.2" customHeight="1" x14ac:dyDescent="0.4">
      <c r="A426" s="682" t="s">
        <v>17</v>
      </c>
      <c r="B426" s="683"/>
      <c r="C426" s="174">
        <f>SUM(C425:C425)</f>
        <v>0</v>
      </c>
      <c r="D426" s="174">
        <f>SUM(D425:D425)</f>
        <v>0</v>
      </c>
      <c r="E426" s="174">
        <f>SUM(E425:E425)</f>
        <v>12000</v>
      </c>
      <c r="F426" s="174">
        <f>ROUNDDOWN(SUM(F425:F425),0)</f>
        <v>0</v>
      </c>
      <c r="G426" s="232" t="e">
        <f>SUM(#REF!)</f>
        <v>#REF!</v>
      </c>
      <c r="H426" s="232" t="e">
        <f>SUM(#REF!)</f>
        <v>#REF!</v>
      </c>
      <c r="I426" s="232">
        <f>SUM(I425:I425)</f>
        <v>0</v>
      </c>
      <c r="J426" s="232">
        <f>SUM(J425:J425)</f>
        <v>0</v>
      </c>
      <c r="K426" s="231"/>
      <c r="L426" s="227"/>
    </row>
    <row r="427" spans="1:15" ht="25.2" customHeight="1" x14ac:dyDescent="0.4">
      <c r="A427" s="684" t="s">
        <v>18</v>
      </c>
      <c r="B427" s="685"/>
      <c r="C427" s="689">
        <f>C426+D426+E426+F426+I426+J426</f>
        <v>12000</v>
      </c>
      <c r="D427" s="690"/>
      <c r="E427" s="690"/>
      <c r="F427" s="690"/>
      <c r="G427" s="690"/>
      <c r="H427" s="690"/>
      <c r="I427" s="690"/>
      <c r="J427" s="691"/>
      <c r="K427" s="229"/>
      <c r="L427" s="228"/>
    </row>
    <row r="429" spans="1:15" ht="25.2" customHeight="1" x14ac:dyDescent="0.4">
      <c r="A429" s="6" t="s">
        <v>0</v>
      </c>
      <c r="B429" s="6" t="s">
        <v>1</v>
      </c>
      <c r="C429" s="6" t="s">
        <v>255</v>
      </c>
      <c r="D429" s="6" t="s">
        <v>5</v>
      </c>
      <c r="E429" s="6" t="s">
        <v>74</v>
      </c>
      <c r="F429" s="6" t="s">
        <v>3</v>
      </c>
      <c r="G429" s="6" t="s">
        <v>4</v>
      </c>
      <c r="H429" s="6" t="s">
        <v>5</v>
      </c>
      <c r="I429" s="6" t="s">
        <v>6</v>
      </c>
      <c r="J429" s="6" t="s">
        <v>7</v>
      </c>
      <c r="K429" s="6" t="s">
        <v>60</v>
      </c>
      <c r="L429" s="6" t="s">
        <v>8</v>
      </c>
    </row>
    <row r="430" spans="1:15" ht="25.2" customHeight="1" x14ac:dyDescent="0.4">
      <c r="A430" s="680" t="s">
        <v>253</v>
      </c>
      <c r="B430" s="233" t="s">
        <v>146</v>
      </c>
      <c r="C430" s="172"/>
      <c r="D430" s="172"/>
      <c r="E430" s="173"/>
      <c r="F430" s="173"/>
      <c r="G430" s="239"/>
      <c r="H430" s="239"/>
      <c r="I430" s="239">
        <v>10000</v>
      </c>
      <c r="J430" s="239">
        <v>18000</v>
      </c>
      <c r="K430" s="239" t="s">
        <v>63</v>
      </c>
      <c r="L430" s="238" t="s">
        <v>266</v>
      </c>
    </row>
    <row r="431" spans="1:15" ht="25.2" customHeight="1" x14ac:dyDescent="0.4">
      <c r="A431" s="681"/>
      <c r="B431" s="233" t="s">
        <v>146</v>
      </c>
      <c r="C431" s="233"/>
      <c r="D431" s="233"/>
      <c r="E431" s="239">
        <v>11800</v>
      </c>
      <c r="F431" s="239"/>
      <c r="G431" s="239"/>
      <c r="H431" s="239"/>
      <c r="I431" s="239"/>
      <c r="J431" s="239"/>
      <c r="K431" s="239" t="s">
        <v>61</v>
      </c>
      <c r="L431" s="238" t="s">
        <v>257</v>
      </c>
      <c r="O431" s="43"/>
    </row>
    <row r="432" spans="1:15" ht="25.2" customHeight="1" x14ac:dyDescent="0.4">
      <c r="A432" s="681"/>
      <c r="B432" s="233" t="s">
        <v>146</v>
      </c>
      <c r="C432" s="233"/>
      <c r="D432" s="233"/>
      <c r="E432" s="239">
        <v>4000</v>
      </c>
      <c r="F432" s="239"/>
      <c r="G432" s="239"/>
      <c r="H432" s="239"/>
      <c r="I432" s="239"/>
      <c r="J432" s="239"/>
      <c r="K432" s="239" t="s">
        <v>61</v>
      </c>
      <c r="L432" s="238" t="s">
        <v>258</v>
      </c>
      <c r="O432" s="43"/>
    </row>
    <row r="433" spans="1:15" ht="25.2" customHeight="1" x14ac:dyDescent="0.4">
      <c r="A433" s="681"/>
      <c r="B433" s="233" t="s">
        <v>146</v>
      </c>
      <c r="C433" s="233"/>
      <c r="D433" s="233"/>
      <c r="E433" s="239"/>
      <c r="F433" s="83">
        <f>O433*N433/9</f>
        <v>48213.511111111118</v>
      </c>
      <c r="G433" s="237"/>
      <c r="H433" s="237"/>
      <c r="I433" s="237"/>
      <c r="J433" s="237"/>
      <c r="K433" s="237" t="s">
        <v>262</v>
      </c>
      <c r="L433" s="234" t="s">
        <v>267</v>
      </c>
      <c r="N433" s="1">
        <v>280</v>
      </c>
      <c r="O433" s="43">
        <v>1549.72</v>
      </c>
    </row>
    <row r="434" spans="1:15" ht="25.2" customHeight="1" x14ac:dyDescent="0.4">
      <c r="A434" s="681"/>
      <c r="B434" s="233" t="s">
        <v>146</v>
      </c>
      <c r="C434" s="239">
        <v>33000</v>
      </c>
      <c r="D434" s="239"/>
      <c r="E434" s="239"/>
      <c r="F434" s="84"/>
      <c r="G434" s="239"/>
      <c r="H434" s="239"/>
      <c r="I434" s="239"/>
      <c r="J434" s="239"/>
      <c r="K434" s="237" t="s">
        <v>261</v>
      </c>
      <c r="L434" s="238" t="s">
        <v>265</v>
      </c>
      <c r="O434" s="43"/>
    </row>
    <row r="435" spans="1:15" ht="25.2" customHeight="1" x14ac:dyDescent="0.4">
      <c r="A435" s="680" t="s">
        <v>254</v>
      </c>
      <c r="B435" s="233" t="s">
        <v>146</v>
      </c>
      <c r="C435" s="172"/>
      <c r="D435" s="172"/>
      <c r="E435" s="173"/>
      <c r="F435" s="173"/>
      <c r="G435" s="239"/>
      <c r="H435" s="239"/>
      <c r="I435" s="239">
        <v>10000</v>
      </c>
      <c r="J435" s="239">
        <v>18000</v>
      </c>
      <c r="K435" s="237" t="s">
        <v>63</v>
      </c>
      <c r="L435" s="238" t="s">
        <v>264</v>
      </c>
    </row>
    <row r="436" spans="1:15" ht="25.2" customHeight="1" x14ac:dyDescent="0.4">
      <c r="A436" s="681"/>
      <c r="B436" s="233" t="s">
        <v>146</v>
      </c>
      <c r="C436" s="172"/>
      <c r="D436" s="172"/>
      <c r="E436" s="173">
        <v>11600</v>
      </c>
      <c r="F436" s="173"/>
      <c r="G436" s="239"/>
      <c r="H436" s="239"/>
      <c r="I436" s="239"/>
      <c r="J436" s="239"/>
      <c r="K436" s="239" t="s">
        <v>61</v>
      </c>
      <c r="L436" s="238" t="s">
        <v>259</v>
      </c>
    </row>
    <row r="437" spans="1:15" ht="25.2" customHeight="1" x14ac:dyDescent="0.4">
      <c r="A437" s="681"/>
      <c r="B437" s="233" t="s">
        <v>146</v>
      </c>
      <c r="C437" s="172"/>
      <c r="D437" s="172"/>
      <c r="E437" s="173">
        <v>3900</v>
      </c>
      <c r="F437" s="173"/>
      <c r="G437" s="239"/>
      <c r="H437" s="239"/>
      <c r="I437" s="239"/>
      <c r="J437" s="239"/>
      <c r="K437" s="239" t="s">
        <v>61</v>
      </c>
      <c r="L437" s="238" t="s">
        <v>260</v>
      </c>
    </row>
    <row r="438" spans="1:15" ht="25.2" customHeight="1" x14ac:dyDescent="0.4">
      <c r="A438" s="695"/>
      <c r="B438" s="233" t="s">
        <v>146</v>
      </c>
      <c r="C438" s="233"/>
      <c r="D438" s="233"/>
      <c r="E438" s="239"/>
      <c r="F438" s="83">
        <f>O438*N438/9</f>
        <v>48213.511111111118</v>
      </c>
      <c r="G438" s="237"/>
      <c r="H438" s="237"/>
      <c r="I438" s="237"/>
      <c r="J438" s="237"/>
      <c r="K438" s="237" t="s">
        <v>262</v>
      </c>
      <c r="L438" s="234" t="s">
        <v>267</v>
      </c>
      <c r="N438" s="1">
        <v>280</v>
      </c>
      <c r="O438" s="43">
        <v>1549.72</v>
      </c>
    </row>
    <row r="439" spans="1:15" ht="25.2" customHeight="1" x14ac:dyDescent="0.4">
      <c r="A439" s="682" t="s">
        <v>17</v>
      </c>
      <c r="B439" s="683"/>
      <c r="C439" s="174">
        <f>SUM(C430:C438)</f>
        <v>33000</v>
      </c>
      <c r="D439" s="174">
        <f>SUM(D430:D438)</f>
        <v>0</v>
      </c>
      <c r="E439" s="174">
        <f>SUM(E430:E438)</f>
        <v>31300</v>
      </c>
      <c r="F439" s="174">
        <f>ROUNDDOWN(SUM(F430:F438),0)</f>
        <v>96427</v>
      </c>
      <c r="G439" s="237" t="e">
        <f>SUM(#REF!)</f>
        <v>#REF!</v>
      </c>
      <c r="H439" s="237" t="e">
        <f>SUM(#REF!)</f>
        <v>#REF!</v>
      </c>
      <c r="I439" s="237">
        <f>SUM(I430:I438)</f>
        <v>20000</v>
      </c>
      <c r="J439" s="237">
        <f>SUM(J430:J438)</f>
        <v>36000</v>
      </c>
      <c r="K439" s="237" t="s">
        <v>263</v>
      </c>
      <c r="L439" s="234" t="s">
        <v>256</v>
      </c>
    </row>
    <row r="440" spans="1:15" ht="25.2" customHeight="1" x14ac:dyDescent="0.4">
      <c r="A440" s="684" t="s">
        <v>18</v>
      </c>
      <c r="B440" s="685"/>
      <c r="C440" s="689">
        <f>C439+D439+E439+F439+I439+J439</f>
        <v>216727</v>
      </c>
      <c r="D440" s="690"/>
      <c r="E440" s="690"/>
      <c r="F440" s="690"/>
      <c r="G440" s="690"/>
      <c r="H440" s="690"/>
      <c r="I440" s="690"/>
      <c r="J440" s="691"/>
      <c r="K440" s="236"/>
      <c r="L440" s="235"/>
    </row>
    <row r="442" spans="1:15" ht="25.2" customHeight="1" x14ac:dyDescent="0.4">
      <c r="A442" s="6" t="s">
        <v>0</v>
      </c>
      <c r="B442" s="6" t="s">
        <v>1</v>
      </c>
      <c r="C442" s="6" t="s">
        <v>200</v>
      </c>
      <c r="D442" s="6" t="s">
        <v>5</v>
      </c>
      <c r="E442" s="6" t="s">
        <v>74</v>
      </c>
      <c r="F442" s="6" t="s">
        <v>3</v>
      </c>
      <c r="G442" s="6" t="s">
        <v>4</v>
      </c>
      <c r="H442" s="6" t="s">
        <v>5</v>
      </c>
      <c r="I442" s="6" t="s">
        <v>6</v>
      </c>
      <c r="J442" s="6" t="s">
        <v>7</v>
      </c>
      <c r="K442" s="6" t="s">
        <v>60</v>
      </c>
      <c r="L442" s="6" t="s">
        <v>8</v>
      </c>
    </row>
    <row r="443" spans="1:15" ht="25.2" customHeight="1" x14ac:dyDescent="0.4">
      <c r="A443" s="240">
        <v>44566</v>
      </c>
      <c r="B443" s="241" t="s">
        <v>115</v>
      </c>
      <c r="C443" s="172"/>
      <c r="D443" s="172">
        <v>6710</v>
      </c>
      <c r="E443" s="173"/>
      <c r="F443" s="173"/>
      <c r="G443" s="246"/>
      <c r="H443" s="246"/>
      <c r="I443" s="246"/>
      <c r="J443" s="246"/>
      <c r="K443" s="246" t="s">
        <v>61</v>
      </c>
      <c r="L443" s="245" t="s">
        <v>268</v>
      </c>
    </row>
    <row r="444" spans="1:15" ht="25.2" customHeight="1" x14ac:dyDescent="0.4">
      <c r="A444" s="682" t="s">
        <v>17</v>
      </c>
      <c r="B444" s="683"/>
      <c r="C444" s="174">
        <f>SUM(C443:C443)</f>
        <v>0</v>
      </c>
      <c r="D444" s="174">
        <f>SUM(D443:D443)</f>
        <v>6710</v>
      </c>
      <c r="E444" s="174">
        <f>SUM(E443:E443)</f>
        <v>0</v>
      </c>
      <c r="F444" s="174">
        <f>ROUNDDOWN(SUM(F443:F443),0)</f>
        <v>0</v>
      </c>
      <c r="G444" s="247" t="e">
        <f>SUM(#REF!)</f>
        <v>#REF!</v>
      </c>
      <c r="H444" s="247" t="e">
        <f>SUM(#REF!)</f>
        <v>#REF!</v>
      </c>
      <c r="I444" s="247">
        <f>SUM(I443:I443)</f>
        <v>0</v>
      </c>
      <c r="J444" s="247">
        <f>SUM(J443:J443)</f>
        <v>0</v>
      </c>
      <c r="K444" s="246"/>
      <c r="L444" s="242"/>
    </row>
    <row r="445" spans="1:15" ht="25.2" customHeight="1" x14ac:dyDescent="0.4">
      <c r="A445" s="684" t="s">
        <v>18</v>
      </c>
      <c r="B445" s="685"/>
      <c r="C445" s="689">
        <f>C444+D444+E444+F444+I444+J444</f>
        <v>6710</v>
      </c>
      <c r="D445" s="690"/>
      <c r="E445" s="690"/>
      <c r="F445" s="690"/>
      <c r="G445" s="690"/>
      <c r="H445" s="690"/>
      <c r="I445" s="690"/>
      <c r="J445" s="691"/>
      <c r="K445" s="244"/>
      <c r="L445" s="243"/>
    </row>
    <row r="447" spans="1:15" ht="25.2" customHeight="1" x14ac:dyDescent="0.4">
      <c r="A447" s="6" t="s">
        <v>0</v>
      </c>
      <c r="B447" s="6" t="s">
        <v>1</v>
      </c>
      <c r="C447" s="6" t="s">
        <v>200</v>
      </c>
      <c r="D447" s="6" t="s">
        <v>5</v>
      </c>
      <c r="E447" s="6" t="s">
        <v>74</v>
      </c>
      <c r="F447" s="6" t="s">
        <v>3</v>
      </c>
      <c r="G447" s="6" t="s">
        <v>4</v>
      </c>
      <c r="H447" s="6" t="s">
        <v>5</v>
      </c>
      <c r="I447" s="6" t="s">
        <v>6</v>
      </c>
      <c r="J447" s="6" t="s">
        <v>7</v>
      </c>
      <c r="K447" s="6" t="s">
        <v>60</v>
      </c>
      <c r="L447" s="6" t="s">
        <v>8</v>
      </c>
    </row>
    <row r="448" spans="1:15" ht="25.2" customHeight="1" x14ac:dyDescent="0.4">
      <c r="A448" s="248">
        <v>44571</v>
      </c>
      <c r="B448" s="249" t="s">
        <v>115</v>
      </c>
      <c r="C448" s="172"/>
      <c r="D448" s="172">
        <v>6710</v>
      </c>
      <c r="E448" s="173"/>
      <c r="F448" s="173"/>
      <c r="G448" s="254"/>
      <c r="H448" s="254"/>
      <c r="I448" s="254"/>
      <c r="J448" s="254"/>
      <c r="K448" s="254" t="s">
        <v>61</v>
      </c>
      <c r="L448" s="253" t="s">
        <v>269</v>
      </c>
    </row>
    <row r="449" spans="1:15" ht="25.2" customHeight="1" x14ac:dyDescent="0.4">
      <c r="A449" s="682" t="s">
        <v>17</v>
      </c>
      <c r="B449" s="683"/>
      <c r="C449" s="174">
        <f>SUM(C448:C448)</f>
        <v>0</v>
      </c>
      <c r="D449" s="174">
        <f>SUM(D448:D448)</f>
        <v>6710</v>
      </c>
      <c r="E449" s="174">
        <f>SUM(E448:E448)</f>
        <v>0</v>
      </c>
      <c r="F449" s="174">
        <f>ROUNDDOWN(SUM(F448:F448),0)</f>
        <v>0</v>
      </c>
      <c r="G449" s="255" t="e">
        <f>SUM(#REF!)</f>
        <v>#REF!</v>
      </c>
      <c r="H449" s="255" t="e">
        <f>SUM(#REF!)</f>
        <v>#REF!</v>
      </c>
      <c r="I449" s="255">
        <f>SUM(I448:I448)</f>
        <v>0</v>
      </c>
      <c r="J449" s="255">
        <f>SUM(J448:J448)</f>
        <v>0</v>
      </c>
      <c r="K449" s="254"/>
      <c r="L449" s="252"/>
    </row>
    <row r="450" spans="1:15" ht="25.2" customHeight="1" x14ac:dyDescent="0.4">
      <c r="A450" s="684" t="s">
        <v>18</v>
      </c>
      <c r="B450" s="685"/>
      <c r="C450" s="689">
        <f>C449+D449+E449+F449+I449+J449</f>
        <v>6710</v>
      </c>
      <c r="D450" s="690"/>
      <c r="E450" s="690"/>
      <c r="F450" s="690"/>
      <c r="G450" s="690"/>
      <c r="H450" s="690"/>
      <c r="I450" s="690"/>
      <c r="J450" s="691"/>
      <c r="K450" s="251"/>
      <c r="L450" s="250"/>
    </row>
    <row r="452" spans="1:15" ht="25.2" customHeight="1" x14ac:dyDescent="0.4">
      <c r="A452" s="6" t="s">
        <v>0</v>
      </c>
      <c r="B452" s="6" t="s">
        <v>1</v>
      </c>
      <c r="C452" s="6" t="s">
        <v>200</v>
      </c>
      <c r="D452" s="6" t="s">
        <v>5</v>
      </c>
      <c r="E452" s="6" t="s">
        <v>74</v>
      </c>
      <c r="F452" s="6" t="s">
        <v>3</v>
      </c>
      <c r="G452" s="6" t="s">
        <v>4</v>
      </c>
      <c r="H452" s="6" t="s">
        <v>5</v>
      </c>
      <c r="I452" s="6" t="s">
        <v>6</v>
      </c>
      <c r="J452" s="6" t="s">
        <v>7</v>
      </c>
      <c r="K452" s="6" t="s">
        <v>60</v>
      </c>
      <c r="L452" s="6" t="s">
        <v>8</v>
      </c>
    </row>
    <row r="453" spans="1:15" ht="25.2" customHeight="1" x14ac:dyDescent="0.4">
      <c r="A453" s="259">
        <v>44574</v>
      </c>
      <c r="B453" s="263" t="s">
        <v>115</v>
      </c>
      <c r="C453" s="172"/>
      <c r="D453" s="172">
        <v>6710</v>
      </c>
      <c r="E453" s="173"/>
      <c r="F453" s="173"/>
      <c r="G453" s="262"/>
      <c r="H453" s="262"/>
      <c r="I453" s="262"/>
      <c r="J453" s="262"/>
      <c r="K453" s="262" t="s">
        <v>61</v>
      </c>
      <c r="L453" s="261" t="s">
        <v>270</v>
      </c>
    </row>
    <row r="454" spans="1:15" ht="25.2" customHeight="1" x14ac:dyDescent="0.4">
      <c r="A454" s="682" t="s">
        <v>17</v>
      </c>
      <c r="B454" s="683"/>
      <c r="C454" s="174">
        <f>SUM(C453:C453)</f>
        <v>0</v>
      </c>
      <c r="D454" s="174">
        <f>SUM(D453:D453)</f>
        <v>6710</v>
      </c>
      <c r="E454" s="174">
        <f>SUM(E453:E453)</f>
        <v>0</v>
      </c>
      <c r="F454" s="174">
        <f>ROUNDDOWN(SUM(F453:F453),0)</f>
        <v>0</v>
      </c>
      <c r="G454" s="260" t="e">
        <f>SUM(#REF!)</f>
        <v>#REF!</v>
      </c>
      <c r="H454" s="260" t="e">
        <f>SUM(#REF!)</f>
        <v>#REF!</v>
      </c>
      <c r="I454" s="260">
        <f>SUM(I453:I453)</f>
        <v>0</v>
      </c>
      <c r="J454" s="260">
        <f>SUM(J453:J453)</f>
        <v>0</v>
      </c>
      <c r="K454" s="262"/>
      <c r="L454" s="256"/>
    </row>
    <row r="455" spans="1:15" ht="25.2" customHeight="1" x14ac:dyDescent="0.4">
      <c r="A455" s="684" t="s">
        <v>18</v>
      </c>
      <c r="B455" s="685"/>
      <c r="C455" s="689">
        <f>C454+D454+E454+F454+I454+J454</f>
        <v>6710</v>
      </c>
      <c r="D455" s="690"/>
      <c r="E455" s="690"/>
      <c r="F455" s="690"/>
      <c r="G455" s="690"/>
      <c r="H455" s="690"/>
      <c r="I455" s="690"/>
      <c r="J455" s="691"/>
      <c r="K455" s="258"/>
      <c r="L455" s="257"/>
    </row>
    <row r="457" spans="1:15" ht="25.2" customHeight="1" x14ac:dyDescent="0.4">
      <c r="A457" s="6" t="s">
        <v>0</v>
      </c>
      <c r="B457" s="6" t="s">
        <v>1</v>
      </c>
      <c r="C457" s="6" t="s">
        <v>255</v>
      </c>
      <c r="D457" s="6" t="s">
        <v>5</v>
      </c>
      <c r="E457" s="6" t="s">
        <v>74</v>
      </c>
      <c r="F457" s="6" t="s">
        <v>3</v>
      </c>
      <c r="G457" s="6" t="s">
        <v>4</v>
      </c>
      <c r="H457" s="6" t="s">
        <v>5</v>
      </c>
      <c r="I457" s="6" t="s">
        <v>6</v>
      </c>
      <c r="J457" s="6" t="s">
        <v>7</v>
      </c>
      <c r="K457" s="6" t="s">
        <v>60</v>
      </c>
      <c r="L457" s="6" t="s">
        <v>8</v>
      </c>
    </row>
    <row r="458" spans="1:15" ht="25.2" customHeight="1" x14ac:dyDescent="0.4">
      <c r="A458" s="680">
        <v>44578</v>
      </c>
      <c r="B458" s="264" t="s">
        <v>271</v>
      </c>
      <c r="C458" s="172"/>
      <c r="D458" s="172"/>
      <c r="E458" s="173">
        <f>1280+1800</f>
        <v>3080</v>
      </c>
      <c r="F458" s="173"/>
      <c r="G458" s="269"/>
      <c r="H458" s="269"/>
      <c r="I458" s="269"/>
      <c r="J458" s="269"/>
      <c r="K458" s="269" t="s">
        <v>61</v>
      </c>
      <c r="L458" s="268" t="s">
        <v>274</v>
      </c>
    </row>
    <row r="459" spans="1:15" ht="25.2" customHeight="1" x14ac:dyDescent="0.4">
      <c r="A459" s="681"/>
      <c r="B459" s="264" t="s">
        <v>271</v>
      </c>
      <c r="C459" s="264"/>
      <c r="D459" s="264"/>
      <c r="E459" s="269"/>
      <c r="F459" s="83">
        <f>O459*N459/9</f>
        <v>7344.5</v>
      </c>
      <c r="G459" s="270"/>
      <c r="H459" s="270"/>
      <c r="I459" s="270"/>
      <c r="J459" s="270"/>
      <c r="K459" s="270" t="s">
        <v>262</v>
      </c>
      <c r="L459" s="265" t="s">
        <v>275</v>
      </c>
      <c r="N459" s="1">
        <v>45</v>
      </c>
      <c r="O459" s="43">
        <v>1468.9</v>
      </c>
    </row>
    <row r="460" spans="1:15" ht="25.2" customHeight="1" x14ac:dyDescent="0.4">
      <c r="A460" s="682" t="s">
        <v>17</v>
      </c>
      <c r="B460" s="683"/>
      <c r="C460" s="174">
        <f>SUM(C458:C459)</f>
        <v>0</v>
      </c>
      <c r="D460" s="174">
        <f>SUM(D458:D459)</f>
        <v>0</v>
      </c>
      <c r="E460" s="174">
        <f>SUM(E458:E459)</f>
        <v>3080</v>
      </c>
      <c r="F460" s="174">
        <f>ROUNDDOWN(SUM(F458:F459),0)</f>
        <v>7344</v>
      </c>
      <c r="G460" s="270" t="e">
        <f>SUM(#REF!)</f>
        <v>#REF!</v>
      </c>
      <c r="H460" s="270" t="e">
        <f>SUM(#REF!)</f>
        <v>#REF!</v>
      </c>
      <c r="I460" s="270">
        <f>SUM(I458:I459)</f>
        <v>0</v>
      </c>
      <c r="J460" s="270">
        <f>SUM(J458:J459)</f>
        <v>0</v>
      </c>
      <c r="K460" s="270" t="s">
        <v>273</v>
      </c>
      <c r="L460" s="265" t="s">
        <v>272</v>
      </c>
    </row>
    <row r="461" spans="1:15" ht="25.2" customHeight="1" x14ac:dyDescent="0.4">
      <c r="A461" s="684" t="s">
        <v>18</v>
      </c>
      <c r="B461" s="685"/>
      <c r="C461" s="689">
        <f>C460+D460+E460+F460+I460+J460</f>
        <v>10424</v>
      </c>
      <c r="D461" s="690"/>
      <c r="E461" s="690"/>
      <c r="F461" s="690"/>
      <c r="G461" s="690"/>
      <c r="H461" s="690"/>
      <c r="I461" s="690"/>
      <c r="J461" s="691"/>
      <c r="K461" s="267"/>
      <c r="L461" s="266"/>
    </row>
    <row r="463" spans="1:15" ht="25.2" customHeight="1" x14ac:dyDescent="0.4">
      <c r="A463" s="6" t="s">
        <v>0</v>
      </c>
      <c r="B463" s="6" t="s">
        <v>1</v>
      </c>
      <c r="C463" s="6" t="s">
        <v>255</v>
      </c>
      <c r="D463" s="6" t="s">
        <v>5</v>
      </c>
      <c r="E463" s="6" t="s">
        <v>74</v>
      </c>
      <c r="F463" s="6" t="s">
        <v>3</v>
      </c>
      <c r="G463" s="6" t="s">
        <v>4</v>
      </c>
      <c r="H463" s="6" t="s">
        <v>5</v>
      </c>
      <c r="I463" s="6" t="s">
        <v>6</v>
      </c>
      <c r="J463" s="6" t="s">
        <v>7</v>
      </c>
      <c r="K463" s="6" t="s">
        <v>60</v>
      </c>
      <c r="L463" s="6" t="s">
        <v>8</v>
      </c>
    </row>
    <row r="464" spans="1:15" ht="25.2" customHeight="1" x14ac:dyDescent="0.4">
      <c r="A464" s="680">
        <v>44579</v>
      </c>
      <c r="B464" s="274" t="s">
        <v>271</v>
      </c>
      <c r="C464" s="172"/>
      <c r="D464" s="172"/>
      <c r="E464" s="173">
        <v>6800</v>
      </c>
      <c r="F464" s="173"/>
      <c r="G464" s="277"/>
      <c r="H464" s="277"/>
      <c r="I464" s="277"/>
      <c r="J464" s="277"/>
      <c r="K464" s="277" t="s">
        <v>61</v>
      </c>
      <c r="L464" s="276" t="s">
        <v>278</v>
      </c>
    </row>
    <row r="465" spans="1:15" ht="25.2" customHeight="1" x14ac:dyDescent="0.4">
      <c r="A465" s="681"/>
      <c r="B465" s="274" t="s">
        <v>271</v>
      </c>
      <c r="C465" s="274"/>
      <c r="D465" s="274"/>
      <c r="E465" s="277"/>
      <c r="F465" s="83">
        <f>O465*N465/9</f>
        <v>22033.5</v>
      </c>
      <c r="G465" s="275"/>
      <c r="H465" s="275"/>
      <c r="I465" s="275"/>
      <c r="J465" s="275"/>
      <c r="K465" s="275" t="s">
        <v>276</v>
      </c>
      <c r="L465" s="271" t="s">
        <v>279</v>
      </c>
      <c r="N465" s="1">
        <v>135</v>
      </c>
      <c r="O465" s="43">
        <v>1468.9</v>
      </c>
    </row>
    <row r="466" spans="1:15" ht="25.2" customHeight="1" x14ac:dyDescent="0.4">
      <c r="A466" s="682" t="s">
        <v>17</v>
      </c>
      <c r="B466" s="683"/>
      <c r="C466" s="174">
        <f>SUM(C464:C465)</f>
        <v>0</v>
      </c>
      <c r="D466" s="174">
        <f>SUM(D464:D465)</f>
        <v>0</v>
      </c>
      <c r="E466" s="174">
        <f>SUM(E464:E465)</f>
        <v>6800</v>
      </c>
      <c r="F466" s="174">
        <f>ROUNDDOWN(SUM(F464:F465),0)</f>
        <v>22033</v>
      </c>
      <c r="G466" s="275" t="e">
        <f>SUM(#REF!)</f>
        <v>#REF!</v>
      </c>
      <c r="H466" s="275" t="e">
        <f>SUM(#REF!)</f>
        <v>#REF!</v>
      </c>
      <c r="I466" s="275">
        <f>SUM(I464:I465)</f>
        <v>0</v>
      </c>
      <c r="J466" s="275">
        <f>SUM(J464:J465)</f>
        <v>0</v>
      </c>
      <c r="K466" s="275" t="s">
        <v>277</v>
      </c>
      <c r="L466" s="271" t="s">
        <v>272</v>
      </c>
    </row>
    <row r="467" spans="1:15" ht="25.2" customHeight="1" x14ac:dyDescent="0.4">
      <c r="A467" s="684" t="s">
        <v>18</v>
      </c>
      <c r="B467" s="685"/>
      <c r="C467" s="689">
        <f>C466+D466+E466+F466+I466+J466</f>
        <v>28833</v>
      </c>
      <c r="D467" s="690"/>
      <c r="E467" s="690"/>
      <c r="F467" s="690"/>
      <c r="G467" s="690"/>
      <c r="H467" s="690"/>
      <c r="I467" s="690"/>
      <c r="J467" s="691"/>
      <c r="K467" s="273"/>
      <c r="L467" s="272"/>
    </row>
    <row r="469" spans="1:15" ht="25.2" customHeight="1" x14ac:dyDescent="0.4">
      <c r="A469" s="6" t="s">
        <v>0</v>
      </c>
      <c r="B469" s="6" t="s">
        <v>1</v>
      </c>
      <c r="C469" s="6" t="s">
        <v>255</v>
      </c>
      <c r="D469" s="6" t="s">
        <v>5</v>
      </c>
      <c r="E469" s="6" t="s">
        <v>74</v>
      </c>
      <c r="F469" s="6" t="s">
        <v>3</v>
      </c>
      <c r="G469" s="6" t="s">
        <v>4</v>
      </c>
      <c r="H469" s="6" t="s">
        <v>5</v>
      </c>
      <c r="I469" s="6" t="s">
        <v>6</v>
      </c>
      <c r="J469" s="6" t="s">
        <v>7</v>
      </c>
      <c r="K469" s="6" t="s">
        <v>60</v>
      </c>
      <c r="L469" s="6" t="s">
        <v>8</v>
      </c>
    </row>
    <row r="470" spans="1:15" ht="25.2" customHeight="1" x14ac:dyDescent="0.4">
      <c r="A470" s="680">
        <v>44785</v>
      </c>
      <c r="B470" s="278" t="s">
        <v>271</v>
      </c>
      <c r="C470" s="172"/>
      <c r="D470" s="172"/>
      <c r="E470" s="173">
        <f>1600+1280</f>
        <v>2880</v>
      </c>
      <c r="F470" s="173"/>
      <c r="G470" s="283"/>
      <c r="H470" s="283"/>
      <c r="I470" s="283"/>
      <c r="J470" s="283"/>
      <c r="K470" s="283" t="s">
        <v>61</v>
      </c>
      <c r="L470" s="282" t="s">
        <v>282</v>
      </c>
    </row>
    <row r="471" spans="1:15" ht="25.2" customHeight="1" x14ac:dyDescent="0.4">
      <c r="A471" s="681"/>
      <c r="B471" s="285"/>
      <c r="C471" s="172"/>
      <c r="D471" s="172"/>
      <c r="E471" s="173">
        <v>7100</v>
      </c>
      <c r="F471" s="173"/>
      <c r="G471" s="288"/>
      <c r="H471" s="288"/>
      <c r="I471" s="288"/>
      <c r="J471" s="288"/>
      <c r="K471" s="286" t="s">
        <v>62</v>
      </c>
      <c r="L471" s="287" t="s">
        <v>287</v>
      </c>
    </row>
    <row r="472" spans="1:15" ht="25.2" customHeight="1" x14ac:dyDescent="0.4">
      <c r="A472" s="681"/>
      <c r="B472" s="278" t="s">
        <v>271</v>
      </c>
      <c r="C472" s="172"/>
      <c r="D472" s="172"/>
      <c r="E472" s="173"/>
      <c r="F472" s="173"/>
      <c r="G472" s="283"/>
      <c r="H472" s="283"/>
      <c r="I472" s="283"/>
      <c r="J472" s="283">
        <v>9000</v>
      </c>
      <c r="K472" s="284" t="s">
        <v>284</v>
      </c>
      <c r="L472" s="282" t="s">
        <v>283</v>
      </c>
    </row>
    <row r="473" spans="1:15" ht="25.2" customHeight="1" x14ac:dyDescent="0.4">
      <c r="A473" s="681"/>
      <c r="B473" s="278" t="s">
        <v>271</v>
      </c>
      <c r="C473" s="278"/>
      <c r="D473" s="278"/>
      <c r="E473" s="283"/>
      <c r="F473" s="83">
        <f>O473*N473/9</f>
        <v>12741.116666666665</v>
      </c>
      <c r="G473" s="284"/>
      <c r="H473" s="284"/>
      <c r="I473" s="284"/>
      <c r="J473" s="284"/>
      <c r="K473" s="284" t="s">
        <v>285</v>
      </c>
      <c r="L473" s="279" t="s">
        <v>289</v>
      </c>
      <c r="N473" s="1">
        <v>55</v>
      </c>
      <c r="O473" s="43">
        <v>2084.91</v>
      </c>
    </row>
    <row r="474" spans="1:15" ht="25.2" customHeight="1" x14ac:dyDescent="0.4">
      <c r="A474" s="682" t="s">
        <v>280</v>
      </c>
      <c r="B474" s="683"/>
      <c r="C474" s="174">
        <f>SUM(C470:C473)</f>
        <v>0</v>
      </c>
      <c r="D474" s="174">
        <f>SUM(D470:D473)</f>
        <v>0</v>
      </c>
      <c r="E474" s="174">
        <f>SUM(E470:E473)</f>
        <v>9980</v>
      </c>
      <c r="F474" s="174">
        <f>ROUNDDOWN(SUM(F470:F473),0)</f>
        <v>12741</v>
      </c>
      <c r="G474" s="284" t="e">
        <f>SUM(#REF!)</f>
        <v>#REF!</v>
      </c>
      <c r="H474" s="284" t="e">
        <f>SUM(#REF!)</f>
        <v>#REF!</v>
      </c>
      <c r="I474" s="284">
        <f>SUM(I470:I473)</f>
        <v>0</v>
      </c>
      <c r="J474" s="284">
        <f>SUM(J470:J473)</f>
        <v>9000</v>
      </c>
      <c r="K474" s="284" t="s">
        <v>286</v>
      </c>
      <c r="L474" s="279" t="s">
        <v>281</v>
      </c>
    </row>
    <row r="475" spans="1:15" ht="25.2" customHeight="1" x14ac:dyDescent="0.4">
      <c r="A475" s="684" t="s">
        <v>18</v>
      </c>
      <c r="B475" s="685"/>
      <c r="C475" s="689">
        <f>C474+D474+E474+F474+I474+J474</f>
        <v>31721</v>
      </c>
      <c r="D475" s="690"/>
      <c r="E475" s="690"/>
      <c r="F475" s="690"/>
      <c r="G475" s="690"/>
      <c r="H475" s="690"/>
      <c r="I475" s="690"/>
      <c r="J475" s="691"/>
      <c r="K475" s="281"/>
      <c r="L475" s="280"/>
    </row>
    <row r="477" spans="1:15" ht="25.2" customHeight="1" x14ac:dyDescent="0.4">
      <c r="A477" s="6" t="s">
        <v>0</v>
      </c>
      <c r="B477" s="6" t="s">
        <v>1</v>
      </c>
      <c r="C477" s="6" t="s">
        <v>4</v>
      </c>
      <c r="D477" s="6" t="s">
        <v>5</v>
      </c>
      <c r="E477" s="6" t="s">
        <v>74</v>
      </c>
      <c r="F477" s="6" t="s">
        <v>3</v>
      </c>
      <c r="G477" s="6" t="s">
        <v>4</v>
      </c>
      <c r="H477" s="6" t="s">
        <v>5</v>
      </c>
      <c r="I477" s="6" t="s">
        <v>6</v>
      </c>
      <c r="J477" s="6" t="s">
        <v>7</v>
      </c>
      <c r="K477" s="6" t="s">
        <v>60</v>
      </c>
      <c r="L477" s="6" t="s">
        <v>8</v>
      </c>
    </row>
    <row r="478" spans="1:15" ht="25.2" customHeight="1" x14ac:dyDescent="0.4">
      <c r="A478" s="680">
        <v>44795</v>
      </c>
      <c r="B478" s="289" t="s">
        <v>63</v>
      </c>
      <c r="C478" s="172"/>
      <c r="D478" s="172"/>
      <c r="E478" s="173">
        <f>1600+800</f>
        <v>2400</v>
      </c>
      <c r="F478" s="173"/>
      <c r="G478" s="294"/>
      <c r="H478" s="294"/>
      <c r="I478" s="294"/>
      <c r="J478" s="294"/>
      <c r="K478" s="294" t="s">
        <v>61</v>
      </c>
      <c r="L478" s="293" t="s">
        <v>291</v>
      </c>
    </row>
    <row r="479" spans="1:15" ht="25.2" customHeight="1" x14ac:dyDescent="0.4">
      <c r="A479" s="681"/>
      <c r="B479" s="289" t="s">
        <v>63</v>
      </c>
      <c r="C479" s="289"/>
      <c r="D479" s="289"/>
      <c r="E479" s="294"/>
      <c r="F479" s="83">
        <f>O479*N479/9</f>
        <v>20849.099999999999</v>
      </c>
      <c r="G479" s="295"/>
      <c r="H479" s="295"/>
      <c r="I479" s="295"/>
      <c r="J479" s="295"/>
      <c r="K479" s="295" t="s">
        <v>62</v>
      </c>
      <c r="L479" s="290" t="s">
        <v>293</v>
      </c>
      <c r="N479" s="1">
        <v>90</v>
      </c>
      <c r="O479" s="43">
        <v>2084.91</v>
      </c>
    </row>
    <row r="480" spans="1:15" ht="25.2" customHeight="1" x14ac:dyDescent="0.4">
      <c r="A480" s="682" t="s">
        <v>17</v>
      </c>
      <c r="B480" s="683"/>
      <c r="C480" s="174">
        <f>SUM(C478:C479)</f>
        <v>0</v>
      </c>
      <c r="D480" s="174">
        <f>SUM(D478:D479)</f>
        <v>0</v>
      </c>
      <c r="E480" s="174">
        <f>SUM(E478:E479)</f>
        <v>2400</v>
      </c>
      <c r="F480" s="174">
        <f>ROUNDDOWN(SUM(F478:F479),0)</f>
        <v>20849</v>
      </c>
      <c r="G480" s="295" t="e">
        <f>SUM(#REF!)</f>
        <v>#REF!</v>
      </c>
      <c r="H480" s="295" t="e">
        <f>SUM(#REF!)</f>
        <v>#REF!</v>
      </c>
      <c r="I480" s="295">
        <f>SUM(I478:I479)</f>
        <v>0</v>
      </c>
      <c r="J480" s="295">
        <f>SUM(J478:J479)</f>
        <v>0</v>
      </c>
      <c r="K480" s="295" t="s">
        <v>288</v>
      </c>
      <c r="L480" s="290" t="s">
        <v>290</v>
      </c>
    </row>
    <row r="481" spans="1:15" ht="25.2" customHeight="1" x14ac:dyDescent="0.4">
      <c r="A481" s="684" t="s">
        <v>18</v>
      </c>
      <c r="B481" s="685"/>
      <c r="C481" s="689">
        <f>C480+D480+E480+F480+I480+J480</f>
        <v>23249</v>
      </c>
      <c r="D481" s="690"/>
      <c r="E481" s="690"/>
      <c r="F481" s="690"/>
      <c r="G481" s="690"/>
      <c r="H481" s="690"/>
      <c r="I481" s="690"/>
      <c r="J481" s="691"/>
      <c r="K481" s="292"/>
      <c r="L481" s="291"/>
    </row>
    <row r="483" spans="1:15" ht="25.2" customHeight="1" x14ac:dyDescent="0.4">
      <c r="A483" s="6" t="s">
        <v>0</v>
      </c>
      <c r="B483" s="6" t="s">
        <v>1</v>
      </c>
      <c r="C483" s="6" t="s">
        <v>4</v>
      </c>
      <c r="D483" s="6" t="s">
        <v>5</v>
      </c>
      <c r="E483" s="6" t="s">
        <v>74</v>
      </c>
      <c r="F483" s="6" t="s">
        <v>3</v>
      </c>
      <c r="G483" s="6" t="s">
        <v>4</v>
      </c>
      <c r="H483" s="6" t="s">
        <v>5</v>
      </c>
      <c r="I483" s="6" t="s">
        <v>6</v>
      </c>
      <c r="J483" s="6" t="s">
        <v>7</v>
      </c>
      <c r="K483" s="6" t="s">
        <v>60</v>
      </c>
      <c r="L483" s="6" t="s">
        <v>8</v>
      </c>
    </row>
    <row r="484" spans="1:15" ht="25.2" customHeight="1" x14ac:dyDescent="0.4">
      <c r="A484" s="680">
        <v>44809</v>
      </c>
      <c r="B484" s="289" t="s">
        <v>63</v>
      </c>
      <c r="C484" s="172"/>
      <c r="D484" s="172"/>
      <c r="E484" s="173">
        <f>1800+1800</f>
        <v>3600</v>
      </c>
      <c r="F484" s="173"/>
      <c r="G484" s="294"/>
      <c r="H484" s="294"/>
      <c r="I484" s="294"/>
      <c r="J484" s="294"/>
      <c r="K484" s="294" t="s">
        <v>61</v>
      </c>
      <c r="L484" s="293" t="s">
        <v>282</v>
      </c>
    </row>
    <row r="485" spans="1:15" ht="25.2" customHeight="1" x14ac:dyDescent="0.4">
      <c r="A485" s="681"/>
      <c r="B485" s="296" t="s">
        <v>63</v>
      </c>
      <c r="C485" s="172"/>
      <c r="D485" s="172"/>
      <c r="E485" s="173">
        <v>1000</v>
      </c>
      <c r="F485" s="173"/>
      <c r="G485" s="299"/>
      <c r="H485" s="299"/>
      <c r="I485" s="299"/>
      <c r="J485" s="299"/>
      <c r="K485" s="297" t="s">
        <v>295</v>
      </c>
      <c r="L485" s="298" t="s">
        <v>296</v>
      </c>
    </row>
    <row r="486" spans="1:15" ht="25.2" customHeight="1" x14ac:dyDescent="0.4">
      <c r="A486" s="681"/>
      <c r="B486" s="289" t="s">
        <v>63</v>
      </c>
      <c r="C486" s="289"/>
      <c r="D486" s="289"/>
      <c r="E486" s="294"/>
      <c r="F486" s="83">
        <f>O486*N486/9</f>
        <v>18893.099999999999</v>
      </c>
      <c r="G486" s="295"/>
      <c r="H486" s="295"/>
      <c r="I486" s="295"/>
      <c r="J486" s="295"/>
      <c r="K486" s="295" t="s">
        <v>62</v>
      </c>
      <c r="L486" s="290" t="s">
        <v>294</v>
      </c>
      <c r="N486" s="1">
        <v>90</v>
      </c>
      <c r="O486" s="43">
        <v>1889.31</v>
      </c>
    </row>
    <row r="487" spans="1:15" ht="25.2" customHeight="1" x14ac:dyDescent="0.4">
      <c r="A487" s="682" t="s">
        <v>17</v>
      </c>
      <c r="B487" s="683"/>
      <c r="C487" s="174">
        <f>SUM(C484:C486)</f>
        <v>0</v>
      </c>
      <c r="D487" s="174">
        <f>SUM(D484:D486)</f>
        <v>0</v>
      </c>
      <c r="E487" s="174">
        <f>SUM(E484:E486)</f>
        <v>4600</v>
      </c>
      <c r="F487" s="174">
        <f>ROUNDDOWN(SUM(F484:F486),0)</f>
        <v>18893</v>
      </c>
      <c r="G487" s="295" t="e">
        <f>SUM(#REF!)</f>
        <v>#REF!</v>
      </c>
      <c r="H487" s="295" t="e">
        <f>SUM(#REF!)</f>
        <v>#REF!</v>
      </c>
      <c r="I487" s="295">
        <f>SUM(I484:I486)</f>
        <v>0</v>
      </c>
      <c r="J487" s="295">
        <f>SUM(J484:J486)</f>
        <v>0</v>
      </c>
      <c r="K487" s="295" t="s">
        <v>288</v>
      </c>
      <c r="L487" s="290" t="s">
        <v>292</v>
      </c>
    </row>
    <row r="488" spans="1:15" ht="25.2" customHeight="1" x14ac:dyDescent="0.4">
      <c r="A488" s="684" t="s">
        <v>18</v>
      </c>
      <c r="B488" s="685"/>
      <c r="C488" s="689">
        <f>C487+D487+E487+F487+I487+J487</f>
        <v>23493</v>
      </c>
      <c r="D488" s="690"/>
      <c r="E488" s="690"/>
      <c r="F488" s="690"/>
      <c r="G488" s="690"/>
      <c r="H488" s="690"/>
      <c r="I488" s="690"/>
      <c r="J488" s="691"/>
      <c r="K488" s="292"/>
      <c r="L488" s="291"/>
    </row>
    <row r="490" spans="1:15" ht="25.2" customHeight="1" x14ac:dyDescent="0.4">
      <c r="A490" s="6" t="s">
        <v>0</v>
      </c>
      <c r="B490" s="6" t="s">
        <v>1</v>
      </c>
      <c r="C490" s="6" t="s">
        <v>4</v>
      </c>
      <c r="D490" s="6" t="s">
        <v>5</v>
      </c>
      <c r="E490" s="6" t="s">
        <v>74</v>
      </c>
      <c r="F490" s="6" t="s">
        <v>3</v>
      </c>
      <c r="G490" s="6" t="s">
        <v>4</v>
      </c>
      <c r="H490" s="6" t="s">
        <v>5</v>
      </c>
      <c r="I490" s="6" t="s">
        <v>6</v>
      </c>
      <c r="J490" s="6" t="s">
        <v>7</v>
      </c>
      <c r="K490" s="6" t="s">
        <v>60</v>
      </c>
      <c r="L490" s="6" t="s">
        <v>8</v>
      </c>
    </row>
    <row r="491" spans="1:15" ht="25.2" customHeight="1" x14ac:dyDescent="0.4">
      <c r="A491" s="680">
        <v>44811</v>
      </c>
      <c r="B491" s="300" t="s">
        <v>63</v>
      </c>
      <c r="C491" s="172"/>
      <c r="D491" s="172"/>
      <c r="E491" s="173">
        <f>1800+1280</f>
        <v>3080</v>
      </c>
      <c r="F491" s="173"/>
      <c r="G491" s="305"/>
      <c r="H491" s="305"/>
      <c r="I491" s="305"/>
      <c r="J491" s="305"/>
      <c r="K491" s="305" t="s">
        <v>61</v>
      </c>
      <c r="L491" s="304" t="s">
        <v>298</v>
      </c>
    </row>
    <row r="492" spans="1:15" ht="25.2" customHeight="1" x14ac:dyDescent="0.4">
      <c r="A492" s="681"/>
      <c r="B492" s="300" t="s">
        <v>63</v>
      </c>
      <c r="C492" s="172"/>
      <c r="D492" s="172"/>
      <c r="E492" s="173">
        <v>1000</v>
      </c>
      <c r="F492" s="173"/>
      <c r="G492" s="305"/>
      <c r="H492" s="305"/>
      <c r="I492" s="305"/>
      <c r="J492" s="305"/>
      <c r="K492" s="306" t="s">
        <v>295</v>
      </c>
      <c r="L492" s="304" t="s">
        <v>299</v>
      </c>
    </row>
    <row r="493" spans="1:15" ht="25.2" customHeight="1" x14ac:dyDescent="0.4">
      <c r="A493" s="681"/>
      <c r="B493" s="300" t="s">
        <v>63</v>
      </c>
      <c r="C493" s="172"/>
      <c r="D493" s="172"/>
      <c r="E493" s="173"/>
      <c r="F493" s="173"/>
      <c r="G493" s="305"/>
      <c r="H493" s="305"/>
      <c r="I493" s="305"/>
      <c r="J493" s="305">
        <v>8000</v>
      </c>
      <c r="K493" s="306" t="s">
        <v>297</v>
      </c>
      <c r="L493" s="304" t="s">
        <v>300</v>
      </c>
    </row>
    <row r="494" spans="1:15" ht="25.2" customHeight="1" x14ac:dyDescent="0.4">
      <c r="A494" s="681"/>
      <c r="B494" s="300" t="s">
        <v>63</v>
      </c>
      <c r="C494" s="300"/>
      <c r="D494" s="300"/>
      <c r="E494" s="305"/>
      <c r="F494" s="83">
        <f>O494*N494/9</f>
        <v>11545.783333333333</v>
      </c>
      <c r="G494" s="306"/>
      <c r="H494" s="306"/>
      <c r="I494" s="306"/>
      <c r="J494" s="306"/>
      <c r="K494" s="306" t="s">
        <v>62</v>
      </c>
      <c r="L494" s="301" t="s">
        <v>289</v>
      </c>
      <c r="N494" s="1">
        <v>55</v>
      </c>
      <c r="O494" s="43">
        <v>1889.31</v>
      </c>
    </row>
    <row r="495" spans="1:15" ht="25.2" customHeight="1" x14ac:dyDescent="0.4">
      <c r="A495" s="682" t="s">
        <v>17</v>
      </c>
      <c r="B495" s="683"/>
      <c r="C495" s="174">
        <f>SUM(C491:C494)</f>
        <v>0</v>
      </c>
      <c r="D495" s="174">
        <f>SUM(D491:D494)</f>
        <v>0</v>
      </c>
      <c r="E495" s="174">
        <f>SUM(E491:E494)</f>
        <v>4080</v>
      </c>
      <c r="F495" s="174">
        <f>ROUNDDOWN(SUM(F491:F494),0)</f>
        <v>11545</v>
      </c>
      <c r="G495" s="306" t="e">
        <f>SUM(#REF!)</f>
        <v>#REF!</v>
      </c>
      <c r="H495" s="306" t="e">
        <f>SUM(#REF!)</f>
        <v>#REF!</v>
      </c>
      <c r="I495" s="306">
        <f>SUM(I491:I494)</f>
        <v>0</v>
      </c>
      <c r="J495" s="306">
        <f>SUM(J491:J494)</f>
        <v>8000</v>
      </c>
      <c r="K495" s="306" t="s">
        <v>84</v>
      </c>
      <c r="L495" s="301" t="s">
        <v>292</v>
      </c>
    </row>
    <row r="496" spans="1:15" ht="25.2" customHeight="1" x14ac:dyDescent="0.4">
      <c r="A496" s="684" t="s">
        <v>18</v>
      </c>
      <c r="B496" s="685"/>
      <c r="C496" s="689">
        <f>C495+D495+E495+F495+I495+J495</f>
        <v>23625</v>
      </c>
      <c r="D496" s="690"/>
      <c r="E496" s="690"/>
      <c r="F496" s="690"/>
      <c r="G496" s="690"/>
      <c r="H496" s="690"/>
      <c r="I496" s="690"/>
      <c r="J496" s="691"/>
      <c r="K496" s="303"/>
      <c r="L496" s="302"/>
    </row>
    <row r="499" spans="1:15" ht="25.2" customHeight="1" x14ac:dyDescent="0.4">
      <c r="A499" s="322">
        <v>44827</v>
      </c>
    </row>
    <row r="500" spans="1:15" ht="25.2" customHeight="1" x14ac:dyDescent="0.4">
      <c r="A500" s="6" t="s">
        <v>0</v>
      </c>
      <c r="B500" s="6" t="s">
        <v>1</v>
      </c>
      <c r="C500" s="6" t="s">
        <v>4</v>
      </c>
      <c r="D500" s="6" t="s">
        <v>5</v>
      </c>
      <c r="E500" s="6" t="s">
        <v>74</v>
      </c>
      <c r="F500" s="6" t="s">
        <v>3</v>
      </c>
      <c r="G500" s="6" t="s">
        <v>4</v>
      </c>
      <c r="H500" s="6" t="s">
        <v>5</v>
      </c>
      <c r="I500" s="6" t="s">
        <v>6</v>
      </c>
      <c r="J500" s="6" t="s">
        <v>7</v>
      </c>
      <c r="K500" s="6" t="s">
        <v>60</v>
      </c>
      <c r="L500" s="6" t="s">
        <v>8</v>
      </c>
    </row>
    <row r="501" spans="1:15" ht="25.2" customHeight="1" x14ac:dyDescent="0.4">
      <c r="A501" s="680">
        <v>44827</v>
      </c>
      <c r="B501" s="680" t="s">
        <v>311</v>
      </c>
      <c r="C501" s="172"/>
      <c r="D501" s="172"/>
      <c r="E501" s="173">
        <v>2700</v>
      </c>
      <c r="F501" s="173"/>
      <c r="G501" s="313"/>
      <c r="H501" s="313"/>
      <c r="I501" s="313"/>
      <c r="J501" s="313"/>
      <c r="K501" s="313" t="s">
        <v>61</v>
      </c>
      <c r="L501" s="312" t="s">
        <v>312</v>
      </c>
    </row>
    <row r="502" spans="1:15" ht="25.2" customHeight="1" x14ac:dyDescent="0.4">
      <c r="A502" s="681"/>
      <c r="B502" s="695"/>
      <c r="C502" s="307"/>
      <c r="D502" s="307"/>
      <c r="E502" s="313"/>
      <c r="F502" s="83">
        <f>O502*N502/9</f>
        <v>24770.953333333331</v>
      </c>
      <c r="G502" s="311"/>
      <c r="H502" s="311"/>
      <c r="I502" s="311"/>
      <c r="J502" s="311"/>
      <c r="K502" s="311" t="s">
        <v>310</v>
      </c>
      <c r="L502" s="308" t="s">
        <v>313</v>
      </c>
      <c r="N502" s="1">
        <v>118</v>
      </c>
      <c r="O502" s="43">
        <v>1889.31</v>
      </c>
    </row>
    <row r="503" spans="1:15" ht="25.2" customHeight="1" x14ac:dyDescent="0.4">
      <c r="A503" s="682" t="s">
        <v>17</v>
      </c>
      <c r="B503" s="683"/>
      <c r="C503" s="174">
        <f>SUM(C501:C502)</f>
        <v>0</v>
      </c>
      <c r="D503" s="174">
        <f>SUM(D501:D502)</f>
        <v>0</v>
      </c>
      <c r="E503" s="174">
        <f>SUM(E501:E502)</f>
        <v>2700</v>
      </c>
      <c r="F503" s="174">
        <f>ROUNDDOWN(SUM(F501:F502),0)</f>
        <v>24770</v>
      </c>
      <c r="G503" s="311" t="e">
        <f>SUM(#REF!)</f>
        <v>#REF!</v>
      </c>
      <c r="H503" s="311" t="e">
        <f>SUM(#REF!)</f>
        <v>#REF!</v>
      </c>
      <c r="I503" s="311">
        <f>SUM(I501:I502)</f>
        <v>0</v>
      </c>
      <c r="J503" s="311">
        <f>SUM(J501:J502)</f>
        <v>0</v>
      </c>
      <c r="K503" s="311"/>
      <c r="L503" s="308" t="s">
        <v>292</v>
      </c>
    </row>
    <row r="504" spans="1:15" ht="25.2" customHeight="1" x14ac:dyDescent="0.4">
      <c r="A504" s="684" t="s">
        <v>18</v>
      </c>
      <c r="B504" s="685"/>
      <c r="C504" s="689">
        <f>C503+D503+E503+F503+I503+J503</f>
        <v>27470</v>
      </c>
      <c r="D504" s="690"/>
      <c r="E504" s="690"/>
      <c r="F504" s="690"/>
      <c r="G504" s="690"/>
      <c r="H504" s="690"/>
      <c r="I504" s="690"/>
      <c r="J504" s="691"/>
      <c r="K504" s="310"/>
      <c r="L504" s="309"/>
    </row>
    <row r="506" spans="1:15" ht="25.2" customHeight="1" x14ac:dyDescent="0.4">
      <c r="A506" s="322">
        <v>44831</v>
      </c>
    </row>
    <row r="507" spans="1:15" ht="25.2" customHeight="1" x14ac:dyDescent="0.4">
      <c r="A507" s="6" t="s">
        <v>0</v>
      </c>
      <c r="B507" s="6" t="s">
        <v>1</v>
      </c>
      <c r="C507" s="6" t="s">
        <v>4</v>
      </c>
      <c r="D507" s="6" t="s">
        <v>5</v>
      </c>
      <c r="E507" s="6" t="s">
        <v>74</v>
      </c>
      <c r="F507" s="6" t="s">
        <v>3</v>
      </c>
      <c r="G507" s="6" t="s">
        <v>4</v>
      </c>
      <c r="H507" s="6" t="s">
        <v>5</v>
      </c>
      <c r="I507" s="6" t="s">
        <v>6</v>
      </c>
      <c r="J507" s="6" t="s">
        <v>7</v>
      </c>
      <c r="K507" s="6" t="s">
        <v>60</v>
      </c>
      <c r="L507" s="6" t="s">
        <v>8</v>
      </c>
    </row>
    <row r="508" spans="1:15" ht="25.2" customHeight="1" x14ac:dyDescent="0.4">
      <c r="A508" s="680">
        <v>44818</v>
      </c>
      <c r="B508" s="307" t="s">
        <v>63</v>
      </c>
      <c r="C508" s="172"/>
      <c r="D508" s="172"/>
      <c r="E508" s="173">
        <v>1600</v>
      </c>
      <c r="F508" s="173"/>
      <c r="G508" s="313"/>
      <c r="H508" s="313"/>
      <c r="I508" s="313"/>
      <c r="J508" s="313"/>
      <c r="K508" s="313" t="s">
        <v>61</v>
      </c>
      <c r="L508" s="312" t="s">
        <v>298</v>
      </c>
    </row>
    <row r="509" spans="1:15" ht="25.2" customHeight="1" x14ac:dyDescent="0.4">
      <c r="A509" s="681"/>
      <c r="B509" s="307" t="s">
        <v>63</v>
      </c>
      <c r="C509" s="172"/>
      <c r="D509" s="172"/>
      <c r="E509" s="173">
        <v>1000</v>
      </c>
      <c r="F509" s="173"/>
      <c r="G509" s="313"/>
      <c r="H509" s="313"/>
      <c r="I509" s="313"/>
      <c r="J509" s="313"/>
      <c r="K509" s="311" t="s">
        <v>301</v>
      </c>
      <c r="L509" s="312" t="s">
        <v>296</v>
      </c>
    </row>
    <row r="510" spans="1:15" ht="25.2" customHeight="1" x14ac:dyDescent="0.4">
      <c r="A510" s="681"/>
      <c r="B510" s="307" t="s">
        <v>63</v>
      </c>
      <c r="C510" s="172"/>
      <c r="D510" s="172"/>
      <c r="E510" s="173"/>
      <c r="F510" s="173"/>
      <c r="G510" s="313"/>
      <c r="H510" s="313"/>
      <c r="I510" s="313"/>
      <c r="J510" s="313">
        <v>8000</v>
      </c>
      <c r="K510" s="311" t="s">
        <v>302</v>
      </c>
      <c r="L510" s="312" t="s">
        <v>300</v>
      </c>
    </row>
    <row r="511" spans="1:15" ht="25.2" customHeight="1" x14ac:dyDescent="0.4">
      <c r="A511" s="681"/>
      <c r="B511" s="307" t="s">
        <v>63</v>
      </c>
      <c r="C511" s="307"/>
      <c r="D511" s="307"/>
      <c r="E511" s="313"/>
      <c r="F511" s="83">
        <f>O511*N511/9</f>
        <v>11545.783333333333</v>
      </c>
      <c r="G511" s="311"/>
      <c r="H511" s="311"/>
      <c r="I511" s="311"/>
      <c r="J511" s="311"/>
      <c r="K511" s="311"/>
      <c r="L511" s="308" t="s">
        <v>289</v>
      </c>
      <c r="N511" s="1">
        <v>55</v>
      </c>
      <c r="O511" s="43">
        <v>1889.31</v>
      </c>
    </row>
    <row r="512" spans="1:15" ht="25.2" customHeight="1" x14ac:dyDescent="0.4">
      <c r="A512" s="680">
        <v>44825</v>
      </c>
      <c r="B512" s="307" t="s">
        <v>63</v>
      </c>
      <c r="C512" s="172"/>
      <c r="D512" s="172"/>
      <c r="E512" s="173">
        <f>1600+1800</f>
        <v>3400</v>
      </c>
      <c r="F512" s="173"/>
      <c r="G512" s="313"/>
      <c r="H512" s="313"/>
      <c r="I512" s="313"/>
      <c r="J512" s="313"/>
      <c r="K512" s="313" t="s">
        <v>303</v>
      </c>
      <c r="L512" s="312" t="s">
        <v>298</v>
      </c>
    </row>
    <row r="513" spans="1:15" ht="25.2" customHeight="1" x14ac:dyDescent="0.4">
      <c r="A513" s="681"/>
      <c r="B513" s="307" t="s">
        <v>63</v>
      </c>
      <c r="C513" s="172"/>
      <c r="D513" s="172"/>
      <c r="E513" s="173">
        <v>1000</v>
      </c>
      <c r="F513" s="173"/>
      <c r="G513" s="313"/>
      <c r="H513" s="313"/>
      <c r="I513" s="313"/>
      <c r="J513" s="313"/>
      <c r="K513" s="311" t="s">
        <v>304</v>
      </c>
      <c r="L513" s="312" t="s">
        <v>296</v>
      </c>
    </row>
    <row r="514" spans="1:15" ht="25.2" customHeight="1" x14ac:dyDescent="0.4">
      <c r="A514" s="681"/>
      <c r="B514" s="307" t="s">
        <v>63</v>
      </c>
      <c r="C514" s="172"/>
      <c r="D514" s="172"/>
      <c r="E514" s="173"/>
      <c r="F514" s="173"/>
      <c r="G514" s="313"/>
      <c r="H514" s="313"/>
      <c r="I514" s="313"/>
      <c r="J514" s="313">
        <v>7000</v>
      </c>
      <c r="K514" s="311" t="s">
        <v>305</v>
      </c>
      <c r="L514" s="312" t="s">
        <v>300</v>
      </c>
    </row>
    <row r="515" spans="1:15" ht="25.2" customHeight="1" x14ac:dyDescent="0.4">
      <c r="A515" s="681"/>
      <c r="B515" s="307" t="s">
        <v>63</v>
      </c>
      <c r="C515" s="307"/>
      <c r="D515" s="307"/>
      <c r="E515" s="313"/>
      <c r="F515" s="83">
        <f>O515*N515/9</f>
        <v>11545.783333333333</v>
      </c>
      <c r="G515" s="311"/>
      <c r="H515" s="311"/>
      <c r="I515" s="311"/>
      <c r="J515" s="311"/>
      <c r="K515" s="311"/>
      <c r="L515" s="308" t="s">
        <v>308</v>
      </c>
      <c r="N515" s="1">
        <v>55</v>
      </c>
      <c r="O515" s="43">
        <v>1889.31</v>
      </c>
    </row>
    <row r="516" spans="1:15" ht="25.2" customHeight="1" x14ac:dyDescent="0.4">
      <c r="A516" s="680">
        <v>44832</v>
      </c>
      <c r="B516" s="307" t="s">
        <v>63</v>
      </c>
      <c r="C516" s="172"/>
      <c r="D516" s="172"/>
      <c r="E516" s="173">
        <v>1280</v>
      </c>
      <c r="F516" s="173"/>
      <c r="G516" s="313"/>
      <c r="H516" s="313"/>
      <c r="I516" s="313"/>
      <c r="J516" s="313"/>
      <c r="K516" s="313" t="s">
        <v>68</v>
      </c>
      <c r="L516" s="312" t="s">
        <v>307</v>
      </c>
    </row>
    <row r="517" spans="1:15" ht="25.2" customHeight="1" x14ac:dyDescent="0.4">
      <c r="A517" s="681"/>
      <c r="B517" s="307" t="s">
        <v>63</v>
      </c>
      <c r="C517" s="172"/>
      <c r="D517" s="172"/>
      <c r="E517" s="173">
        <v>1000</v>
      </c>
      <c r="F517" s="173"/>
      <c r="G517" s="313"/>
      <c r="H517" s="313"/>
      <c r="I517" s="313"/>
      <c r="J517" s="313"/>
      <c r="K517" s="311" t="s">
        <v>306</v>
      </c>
      <c r="L517" s="312" t="s">
        <v>296</v>
      </c>
    </row>
    <row r="518" spans="1:15" ht="25.2" customHeight="1" x14ac:dyDescent="0.4">
      <c r="A518" s="681"/>
      <c r="B518" s="307" t="s">
        <v>63</v>
      </c>
      <c r="C518" s="172"/>
      <c r="D518" s="172"/>
      <c r="E518" s="173"/>
      <c r="F518" s="173"/>
      <c r="G518" s="313"/>
      <c r="H518" s="313"/>
      <c r="I518" s="313"/>
      <c r="J518" s="313">
        <v>8100</v>
      </c>
      <c r="K518" s="311" t="s">
        <v>70</v>
      </c>
      <c r="L518" s="312" t="s">
        <v>309</v>
      </c>
    </row>
    <row r="519" spans="1:15" ht="25.2" customHeight="1" x14ac:dyDescent="0.4">
      <c r="A519" s="681"/>
      <c r="B519" s="307" t="s">
        <v>63</v>
      </c>
      <c r="C519" s="307"/>
      <c r="D519" s="307"/>
      <c r="E519" s="313"/>
      <c r="F519" s="83">
        <f>O519*N519/9</f>
        <v>11545.783333333333</v>
      </c>
      <c r="G519" s="311"/>
      <c r="H519" s="311"/>
      <c r="I519" s="311"/>
      <c r="J519" s="311"/>
      <c r="K519" s="311"/>
      <c r="L519" s="308" t="s">
        <v>289</v>
      </c>
      <c r="N519" s="1">
        <v>55</v>
      </c>
      <c r="O519" s="43">
        <v>1889.31</v>
      </c>
    </row>
    <row r="520" spans="1:15" ht="25.2" customHeight="1" x14ac:dyDescent="0.4">
      <c r="A520" s="682" t="s">
        <v>17</v>
      </c>
      <c r="B520" s="683"/>
      <c r="C520" s="174">
        <f>SUM(C508:C519)</f>
        <v>0</v>
      </c>
      <c r="D520" s="174">
        <f>SUM(D508:D519)</f>
        <v>0</v>
      </c>
      <c r="E520" s="174">
        <f>SUM(E508:E519)</f>
        <v>9280</v>
      </c>
      <c r="F520" s="174">
        <f>ROUNDDOWN(SUM(F508:F519),0)</f>
        <v>34637</v>
      </c>
      <c r="G520" s="311" t="e">
        <f>SUM(#REF!)</f>
        <v>#REF!</v>
      </c>
      <c r="H520" s="311" t="e">
        <f>SUM(#REF!)</f>
        <v>#REF!</v>
      </c>
      <c r="I520" s="174">
        <f>SUM(I508:I519)</f>
        <v>0</v>
      </c>
      <c r="J520" s="174">
        <f>SUM(J508:J519)</f>
        <v>23100</v>
      </c>
      <c r="K520" s="311"/>
      <c r="L520" s="308" t="s">
        <v>292</v>
      </c>
    </row>
    <row r="521" spans="1:15" ht="25.2" customHeight="1" x14ac:dyDescent="0.4">
      <c r="A521" s="684" t="s">
        <v>18</v>
      </c>
      <c r="B521" s="685"/>
      <c r="C521" s="689">
        <f>C520+D520+E520+F520+I520+J520</f>
        <v>67017</v>
      </c>
      <c r="D521" s="690"/>
      <c r="E521" s="690"/>
      <c r="F521" s="690"/>
      <c r="G521" s="690"/>
      <c r="H521" s="690"/>
      <c r="I521" s="690"/>
      <c r="J521" s="691"/>
      <c r="K521" s="310"/>
      <c r="L521" s="309"/>
    </row>
    <row r="524" spans="1:15" ht="25.2" customHeight="1" x14ac:dyDescent="0.4">
      <c r="A524" s="6" t="s">
        <v>0</v>
      </c>
      <c r="B524" s="6" t="s">
        <v>1</v>
      </c>
      <c r="C524" s="6" t="s">
        <v>4</v>
      </c>
      <c r="D524" s="6" t="s">
        <v>5</v>
      </c>
      <c r="E524" s="6" t="s">
        <v>74</v>
      </c>
      <c r="F524" s="6" t="s">
        <v>3</v>
      </c>
      <c r="G524" s="6" t="s">
        <v>4</v>
      </c>
      <c r="H524" s="6" t="s">
        <v>5</v>
      </c>
      <c r="I524" s="6" t="s">
        <v>6</v>
      </c>
      <c r="J524" s="6" t="s">
        <v>7</v>
      </c>
      <c r="K524" s="6" t="s">
        <v>60</v>
      </c>
      <c r="L524" s="6" t="s">
        <v>8</v>
      </c>
    </row>
    <row r="525" spans="1:15" ht="25.2" customHeight="1" x14ac:dyDescent="0.4">
      <c r="A525" s="314">
        <v>44783</v>
      </c>
      <c r="B525" s="315" t="s">
        <v>319</v>
      </c>
      <c r="C525" s="172"/>
      <c r="D525" s="172">
        <v>2949</v>
      </c>
      <c r="E525" s="173"/>
      <c r="F525" s="173"/>
      <c r="G525" s="320"/>
      <c r="H525" s="320"/>
      <c r="I525" s="320"/>
      <c r="J525" s="320"/>
      <c r="K525" s="320" t="s">
        <v>317</v>
      </c>
      <c r="L525" s="319" t="s">
        <v>318</v>
      </c>
    </row>
    <row r="526" spans="1:15" ht="25.2" customHeight="1" x14ac:dyDescent="0.4">
      <c r="A526" s="314">
        <v>44796</v>
      </c>
      <c r="B526" s="315" t="s">
        <v>115</v>
      </c>
      <c r="C526" s="172"/>
      <c r="D526" s="172">
        <v>7051</v>
      </c>
      <c r="E526" s="173"/>
      <c r="F526" s="173"/>
      <c r="G526" s="320"/>
      <c r="H526" s="320"/>
      <c r="I526" s="320"/>
      <c r="J526" s="320"/>
      <c r="K526" s="320" t="s">
        <v>68</v>
      </c>
      <c r="L526" s="319" t="s">
        <v>320</v>
      </c>
    </row>
    <row r="527" spans="1:15" ht="25.2" customHeight="1" x14ac:dyDescent="0.4">
      <c r="A527" s="680">
        <v>44839</v>
      </c>
      <c r="B527" s="314" t="s">
        <v>63</v>
      </c>
      <c r="C527" s="172"/>
      <c r="D527" s="172"/>
      <c r="E527" s="173">
        <v>1280</v>
      </c>
      <c r="F527" s="173"/>
      <c r="G527" s="320"/>
      <c r="H527" s="320"/>
      <c r="I527" s="320"/>
      <c r="J527" s="320"/>
      <c r="K527" s="320" t="s">
        <v>315</v>
      </c>
      <c r="L527" s="319" t="s">
        <v>282</v>
      </c>
    </row>
    <row r="528" spans="1:15" ht="25.2" customHeight="1" x14ac:dyDescent="0.4">
      <c r="A528" s="681"/>
      <c r="B528" s="314" t="s">
        <v>63</v>
      </c>
      <c r="C528" s="172"/>
      <c r="D528" s="172"/>
      <c r="E528" s="173">
        <v>1000</v>
      </c>
      <c r="F528" s="173"/>
      <c r="G528" s="320"/>
      <c r="H528" s="320"/>
      <c r="I528" s="320"/>
      <c r="J528" s="320"/>
      <c r="K528" s="321" t="s">
        <v>91</v>
      </c>
      <c r="L528" s="319" t="s">
        <v>296</v>
      </c>
    </row>
    <row r="529" spans="1:15" ht="25.2" customHeight="1" x14ac:dyDescent="0.4">
      <c r="A529" s="681"/>
      <c r="B529" s="314" t="s">
        <v>63</v>
      </c>
      <c r="C529" s="172"/>
      <c r="D529" s="172"/>
      <c r="E529" s="173"/>
      <c r="F529" s="173"/>
      <c r="G529" s="320"/>
      <c r="H529" s="320"/>
      <c r="I529" s="320"/>
      <c r="J529" s="320">
        <v>7500</v>
      </c>
      <c r="K529" s="321" t="s">
        <v>84</v>
      </c>
      <c r="L529" s="319" t="s">
        <v>300</v>
      </c>
    </row>
    <row r="530" spans="1:15" ht="25.2" customHeight="1" x14ac:dyDescent="0.4">
      <c r="A530" s="681"/>
      <c r="B530" s="314" t="s">
        <v>63</v>
      </c>
      <c r="C530" s="314"/>
      <c r="D530" s="314"/>
      <c r="E530" s="320"/>
      <c r="F530" s="83">
        <f>O530*N530/9</f>
        <v>11306.777777777777</v>
      </c>
      <c r="G530" s="321"/>
      <c r="H530" s="321"/>
      <c r="I530" s="321"/>
      <c r="J530" s="321"/>
      <c r="K530" s="321"/>
      <c r="L530" s="316" t="s">
        <v>248</v>
      </c>
      <c r="N530" s="1">
        <v>55</v>
      </c>
      <c r="O530" s="43">
        <v>1850.2</v>
      </c>
    </row>
    <row r="531" spans="1:15" ht="25.2" customHeight="1" x14ac:dyDescent="0.4">
      <c r="A531" s="680">
        <v>44841</v>
      </c>
      <c r="B531" s="314" t="s">
        <v>63</v>
      </c>
      <c r="C531" s="172"/>
      <c r="D531" s="172"/>
      <c r="E531" s="173">
        <f>1800+800</f>
        <v>2600</v>
      </c>
      <c r="F531" s="173"/>
      <c r="G531" s="320"/>
      <c r="H531" s="320"/>
      <c r="I531" s="320"/>
      <c r="J531" s="320"/>
      <c r="K531" s="320" t="s">
        <v>315</v>
      </c>
      <c r="L531" s="319" t="s">
        <v>282</v>
      </c>
    </row>
    <row r="532" spans="1:15" ht="25.2" customHeight="1" x14ac:dyDescent="0.4">
      <c r="A532" s="681"/>
      <c r="B532" s="314" t="s">
        <v>63</v>
      </c>
      <c r="C532" s="172"/>
      <c r="D532" s="172"/>
      <c r="E532" s="173">
        <v>1000</v>
      </c>
      <c r="F532" s="173"/>
      <c r="G532" s="320"/>
      <c r="H532" s="320"/>
      <c r="I532" s="320"/>
      <c r="J532" s="320"/>
      <c r="K532" s="321" t="s">
        <v>91</v>
      </c>
      <c r="L532" s="319" t="s">
        <v>296</v>
      </c>
    </row>
    <row r="533" spans="1:15" ht="25.2" customHeight="1" x14ac:dyDescent="0.4">
      <c r="A533" s="681"/>
      <c r="B533" s="314" t="s">
        <v>63</v>
      </c>
      <c r="C533" s="314"/>
      <c r="D533" s="314"/>
      <c r="E533" s="320"/>
      <c r="F533" s="83">
        <f>O533*N533/9</f>
        <v>11306.777777777777</v>
      </c>
      <c r="G533" s="321"/>
      <c r="H533" s="321"/>
      <c r="I533" s="321"/>
      <c r="J533" s="321"/>
      <c r="K533" s="321"/>
      <c r="L533" s="316" t="s">
        <v>248</v>
      </c>
      <c r="N533" s="1">
        <v>55</v>
      </c>
      <c r="O533" s="43">
        <v>1850.2</v>
      </c>
    </row>
    <row r="534" spans="1:15" ht="25.2" customHeight="1" x14ac:dyDescent="0.4">
      <c r="A534" s="680">
        <v>44846</v>
      </c>
      <c r="B534" s="314" t="s">
        <v>63</v>
      </c>
      <c r="C534" s="172"/>
      <c r="D534" s="172"/>
      <c r="E534" s="173">
        <f>1600+1600</f>
        <v>3200</v>
      </c>
      <c r="F534" s="173"/>
      <c r="G534" s="320"/>
      <c r="H534" s="320"/>
      <c r="I534" s="320"/>
      <c r="J534" s="320"/>
      <c r="K534" s="320" t="s">
        <v>315</v>
      </c>
      <c r="L534" s="319" t="s">
        <v>282</v>
      </c>
    </row>
    <row r="535" spans="1:15" ht="25.2" customHeight="1" x14ac:dyDescent="0.4">
      <c r="A535" s="681"/>
      <c r="B535" s="314" t="s">
        <v>63</v>
      </c>
      <c r="C535" s="172"/>
      <c r="D535" s="172"/>
      <c r="E535" s="173">
        <v>1000</v>
      </c>
      <c r="F535" s="173"/>
      <c r="G535" s="320"/>
      <c r="H535" s="320"/>
      <c r="I535" s="320"/>
      <c r="J535" s="320"/>
      <c r="K535" s="321" t="s">
        <v>91</v>
      </c>
      <c r="L535" s="319" t="s">
        <v>296</v>
      </c>
    </row>
    <row r="536" spans="1:15" ht="25.2" customHeight="1" x14ac:dyDescent="0.4">
      <c r="A536" s="681"/>
      <c r="B536" s="314" t="s">
        <v>63</v>
      </c>
      <c r="C536" s="172"/>
      <c r="D536" s="172"/>
      <c r="E536" s="173"/>
      <c r="F536" s="173"/>
      <c r="G536" s="320"/>
      <c r="H536" s="320"/>
      <c r="I536" s="320"/>
      <c r="J536" s="320">
        <v>7000</v>
      </c>
      <c r="K536" s="321" t="s">
        <v>316</v>
      </c>
      <c r="L536" s="319" t="s">
        <v>300</v>
      </c>
    </row>
    <row r="537" spans="1:15" ht="25.2" customHeight="1" x14ac:dyDescent="0.4">
      <c r="A537" s="681"/>
      <c r="B537" s="314" t="s">
        <v>63</v>
      </c>
      <c r="C537" s="314"/>
      <c r="D537" s="314"/>
      <c r="E537" s="320"/>
      <c r="F537" s="83">
        <f>O537*N537/9</f>
        <v>11306.777777777777</v>
      </c>
      <c r="G537" s="321"/>
      <c r="H537" s="321"/>
      <c r="I537" s="321"/>
      <c r="J537" s="321"/>
      <c r="K537" s="321"/>
      <c r="L537" s="316" t="s">
        <v>321</v>
      </c>
      <c r="N537" s="1">
        <v>55</v>
      </c>
      <c r="O537" s="43">
        <v>1850.2</v>
      </c>
    </row>
    <row r="538" spans="1:15" ht="25.2" customHeight="1" x14ac:dyDescent="0.4">
      <c r="A538" s="680">
        <v>44853</v>
      </c>
      <c r="B538" s="314" t="s">
        <v>63</v>
      </c>
      <c r="C538" s="172"/>
      <c r="D538" s="172"/>
      <c r="E538" s="173">
        <v>1600</v>
      </c>
      <c r="F538" s="173"/>
      <c r="G538" s="320"/>
      <c r="H538" s="320"/>
      <c r="I538" s="320"/>
      <c r="J538" s="320"/>
      <c r="K538" s="320" t="s">
        <v>315</v>
      </c>
      <c r="L538" s="319" t="s">
        <v>282</v>
      </c>
    </row>
    <row r="539" spans="1:15" ht="25.2" customHeight="1" x14ac:dyDescent="0.4">
      <c r="A539" s="681"/>
      <c r="B539" s="314" t="s">
        <v>63</v>
      </c>
      <c r="C539" s="172"/>
      <c r="D539" s="172"/>
      <c r="E539" s="173">
        <v>1000</v>
      </c>
      <c r="F539" s="173"/>
      <c r="G539" s="320"/>
      <c r="H539" s="320"/>
      <c r="I539" s="320"/>
      <c r="J539" s="320"/>
      <c r="K539" s="321" t="s">
        <v>91</v>
      </c>
      <c r="L539" s="319" t="s">
        <v>296</v>
      </c>
    </row>
    <row r="540" spans="1:15" ht="25.2" customHeight="1" x14ac:dyDescent="0.4">
      <c r="A540" s="681"/>
      <c r="B540" s="314" t="s">
        <v>63</v>
      </c>
      <c r="C540" s="172"/>
      <c r="D540" s="172"/>
      <c r="E540" s="173"/>
      <c r="F540" s="173"/>
      <c r="G540" s="320"/>
      <c r="H540" s="320"/>
      <c r="I540" s="320"/>
      <c r="J540" s="320">
        <v>7900</v>
      </c>
      <c r="K540" s="321" t="s">
        <v>86</v>
      </c>
      <c r="L540" s="319" t="s">
        <v>300</v>
      </c>
    </row>
    <row r="541" spans="1:15" ht="25.2" customHeight="1" x14ac:dyDescent="0.4">
      <c r="A541" s="681"/>
      <c r="B541" s="314" t="s">
        <v>63</v>
      </c>
      <c r="C541" s="314"/>
      <c r="D541" s="314"/>
      <c r="E541" s="320"/>
      <c r="F541" s="83">
        <f>O541*N541/9</f>
        <v>11306.777777777777</v>
      </c>
      <c r="G541" s="321"/>
      <c r="H541" s="321"/>
      <c r="I541" s="321"/>
      <c r="J541" s="321"/>
      <c r="K541" s="321"/>
      <c r="L541" s="316" t="s">
        <v>248</v>
      </c>
      <c r="N541" s="1">
        <v>55</v>
      </c>
      <c r="O541" s="43">
        <v>1850.2</v>
      </c>
    </row>
    <row r="542" spans="1:15" ht="25.2" customHeight="1" x14ac:dyDescent="0.4">
      <c r="A542" s="682" t="s">
        <v>17</v>
      </c>
      <c r="B542" s="683"/>
      <c r="C542" s="174">
        <f>SUM(C525:C541)</f>
        <v>0</v>
      </c>
      <c r="D542" s="174">
        <f>SUM(D525:D541)</f>
        <v>10000</v>
      </c>
      <c r="E542" s="174">
        <f>SUM(E525:E541)</f>
        <v>12680</v>
      </c>
      <c r="F542" s="174">
        <f>ROUNDDOWN(SUM(F525:F541),0)</f>
        <v>45227</v>
      </c>
      <c r="G542" s="321" t="e">
        <f>SUM(#REF!)</f>
        <v>#REF!</v>
      </c>
      <c r="H542" s="321" t="e">
        <f>SUM(#REF!)</f>
        <v>#REF!</v>
      </c>
      <c r="I542" s="174">
        <f>SUM(I525:I541)</f>
        <v>0</v>
      </c>
      <c r="J542" s="174">
        <f>SUM(J525:J541)</f>
        <v>22400</v>
      </c>
      <c r="K542" s="321" t="s">
        <v>69</v>
      </c>
      <c r="L542" s="316" t="s">
        <v>314</v>
      </c>
    </row>
    <row r="543" spans="1:15" ht="25.2" customHeight="1" x14ac:dyDescent="0.4">
      <c r="A543" s="684" t="s">
        <v>18</v>
      </c>
      <c r="B543" s="685"/>
      <c r="C543" s="689">
        <f>C542+D542+E542+F542+I542+J542</f>
        <v>90307</v>
      </c>
      <c r="D543" s="690"/>
      <c r="E543" s="690"/>
      <c r="F543" s="690"/>
      <c r="G543" s="690"/>
      <c r="H543" s="690"/>
      <c r="I543" s="690"/>
      <c r="J543" s="691"/>
      <c r="K543" s="318"/>
      <c r="L543" s="317"/>
    </row>
    <row r="547" spans="1:15" ht="25.2" customHeight="1" x14ac:dyDescent="0.4">
      <c r="A547" s="6" t="s">
        <v>0</v>
      </c>
      <c r="B547" s="6" t="s">
        <v>1</v>
      </c>
      <c r="C547" s="6" t="s">
        <v>4</v>
      </c>
      <c r="D547" s="6" t="s">
        <v>333</v>
      </c>
      <c r="E547" s="6" t="s">
        <v>74</v>
      </c>
      <c r="F547" s="6" t="s">
        <v>3</v>
      </c>
      <c r="G547" s="6" t="s">
        <v>4</v>
      </c>
      <c r="H547" s="6" t="s">
        <v>5</v>
      </c>
      <c r="I547" s="6" t="s">
        <v>6</v>
      </c>
      <c r="J547" s="6" t="s">
        <v>7</v>
      </c>
      <c r="K547" s="6" t="s">
        <v>60</v>
      </c>
      <c r="L547" s="6" t="s">
        <v>8</v>
      </c>
    </row>
    <row r="548" spans="1:15" ht="25.2" customHeight="1" x14ac:dyDescent="0.4">
      <c r="A548" s="680">
        <v>44860</v>
      </c>
      <c r="B548" s="323" t="s">
        <v>63</v>
      </c>
      <c r="C548" s="172"/>
      <c r="D548" s="172"/>
      <c r="E548" s="173">
        <f>1600+1600</f>
        <v>3200</v>
      </c>
      <c r="F548" s="173"/>
      <c r="G548" s="329"/>
      <c r="H548" s="329"/>
      <c r="I548" s="329"/>
      <c r="J548" s="329"/>
      <c r="K548" s="329" t="s">
        <v>61</v>
      </c>
      <c r="L548" s="328" t="s">
        <v>282</v>
      </c>
    </row>
    <row r="549" spans="1:15" ht="25.2" customHeight="1" x14ac:dyDescent="0.4">
      <c r="A549" s="681"/>
      <c r="B549" s="323" t="s">
        <v>63</v>
      </c>
      <c r="C549" s="172"/>
      <c r="D549" s="172">
        <v>1000</v>
      </c>
      <c r="E549" s="173"/>
      <c r="F549" s="173"/>
      <c r="G549" s="329"/>
      <c r="H549" s="329"/>
      <c r="I549" s="329"/>
      <c r="J549" s="329"/>
      <c r="K549" s="329" t="s">
        <v>324</v>
      </c>
      <c r="L549" s="328" t="s">
        <v>296</v>
      </c>
    </row>
    <row r="550" spans="1:15" ht="25.2" customHeight="1" x14ac:dyDescent="0.4">
      <c r="A550" s="681"/>
      <c r="B550" s="323" t="s">
        <v>63</v>
      </c>
      <c r="C550" s="323"/>
      <c r="D550" s="323"/>
      <c r="E550" s="329"/>
      <c r="F550" s="83">
        <f>O550*N550/9</f>
        <v>11306.777777777777</v>
      </c>
      <c r="G550" s="327"/>
      <c r="H550" s="327"/>
      <c r="I550" s="327"/>
      <c r="J550" s="327"/>
      <c r="K550" s="327" t="s">
        <v>329</v>
      </c>
      <c r="L550" s="324" t="s">
        <v>332</v>
      </c>
      <c r="N550" s="1">
        <v>55</v>
      </c>
      <c r="O550" s="43">
        <v>1850.2</v>
      </c>
    </row>
    <row r="551" spans="1:15" ht="25.2" customHeight="1" x14ac:dyDescent="0.4">
      <c r="A551" s="682" t="s">
        <v>17</v>
      </c>
      <c r="B551" s="683"/>
      <c r="C551" s="174">
        <f>SUM(C548:C550)</f>
        <v>0</v>
      </c>
      <c r="D551" s="174">
        <f>SUM(D548:D550)</f>
        <v>1000</v>
      </c>
      <c r="E551" s="174">
        <f>SUM(E548:E550)</f>
        <v>3200</v>
      </c>
      <c r="F551" s="174">
        <f>ROUNDDOWN(SUM(F548:F550),0)</f>
        <v>11306</v>
      </c>
      <c r="G551" s="327" t="e">
        <f>SUM(#REF!)</f>
        <v>#REF!</v>
      </c>
      <c r="H551" s="327" t="e">
        <f>SUM(#REF!)</f>
        <v>#REF!</v>
      </c>
      <c r="I551" s="174">
        <f>SUM(I548:I550)</f>
        <v>0</v>
      </c>
      <c r="J551" s="174">
        <f>SUM(J548:J550)</f>
        <v>0</v>
      </c>
      <c r="K551" s="327"/>
      <c r="L551" s="324"/>
    </row>
    <row r="552" spans="1:15" ht="25.2" customHeight="1" x14ac:dyDescent="0.4">
      <c r="A552" s="684" t="s">
        <v>18</v>
      </c>
      <c r="B552" s="685"/>
      <c r="C552" s="689">
        <f>C551+D551+E551+F551+I551+J551</f>
        <v>15506</v>
      </c>
      <c r="D552" s="690"/>
      <c r="E552" s="690"/>
      <c r="F552" s="690"/>
      <c r="G552" s="690"/>
      <c r="H552" s="690"/>
      <c r="I552" s="690"/>
      <c r="J552" s="691"/>
      <c r="K552" s="326"/>
      <c r="L552" s="325"/>
    </row>
    <row r="554" spans="1:15" ht="25.2" customHeight="1" x14ac:dyDescent="0.4">
      <c r="A554" s="6" t="s">
        <v>0</v>
      </c>
      <c r="B554" s="6" t="s">
        <v>1</v>
      </c>
      <c r="C554" s="6" t="s">
        <v>4</v>
      </c>
      <c r="D554" s="6" t="s">
        <v>333</v>
      </c>
      <c r="E554" s="6" t="s">
        <v>74</v>
      </c>
      <c r="F554" s="6" t="s">
        <v>3</v>
      </c>
      <c r="G554" s="6" t="s">
        <v>4</v>
      </c>
      <c r="H554" s="6" t="s">
        <v>5</v>
      </c>
      <c r="I554" s="6" t="s">
        <v>6</v>
      </c>
      <c r="J554" s="6" t="s">
        <v>7</v>
      </c>
      <c r="K554" s="6" t="s">
        <v>60</v>
      </c>
      <c r="L554" s="6" t="s">
        <v>8</v>
      </c>
    </row>
    <row r="555" spans="1:15" ht="25.2" customHeight="1" x14ac:dyDescent="0.4">
      <c r="A555" s="680">
        <v>44867</v>
      </c>
      <c r="B555" s="323" t="s">
        <v>63</v>
      </c>
      <c r="C555" s="172"/>
      <c r="D555" s="172"/>
      <c r="E555" s="173">
        <v>1280</v>
      </c>
      <c r="F555" s="173"/>
      <c r="G555" s="329"/>
      <c r="H555" s="329"/>
      <c r="I555" s="329"/>
      <c r="J555" s="329"/>
      <c r="K555" s="329" t="s">
        <v>61</v>
      </c>
      <c r="L555" s="328" t="s">
        <v>335</v>
      </c>
    </row>
    <row r="556" spans="1:15" ht="25.2" customHeight="1" x14ac:dyDescent="0.4">
      <c r="A556" s="681"/>
      <c r="B556" s="323" t="s">
        <v>63</v>
      </c>
      <c r="C556" s="172"/>
      <c r="D556" s="173">
        <v>1000</v>
      </c>
      <c r="E556" s="173"/>
      <c r="F556" s="173"/>
      <c r="G556" s="329"/>
      <c r="H556" s="329"/>
      <c r="I556" s="329"/>
      <c r="J556" s="329"/>
      <c r="K556" s="327" t="s">
        <v>325</v>
      </c>
      <c r="L556" s="328" t="s">
        <v>334</v>
      </c>
    </row>
    <row r="557" spans="1:15" ht="25.2" customHeight="1" x14ac:dyDescent="0.4">
      <c r="A557" s="681"/>
      <c r="B557" s="323" t="s">
        <v>63</v>
      </c>
      <c r="C557" s="172"/>
      <c r="D557" s="172"/>
      <c r="E557" s="173"/>
      <c r="F557" s="173"/>
      <c r="G557" s="329"/>
      <c r="H557" s="329"/>
      <c r="I557" s="329"/>
      <c r="J557" s="329">
        <v>8500</v>
      </c>
      <c r="K557" s="327" t="s">
        <v>328</v>
      </c>
      <c r="L557" s="328" t="s">
        <v>300</v>
      </c>
    </row>
    <row r="558" spans="1:15" ht="25.2" customHeight="1" x14ac:dyDescent="0.4">
      <c r="A558" s="681"/>
      <c r="B558" s="323" t="s">
        <v>63</v>
      </c>
      <c r="C558" s="323"/>
      <c r="D558" s="323"/>
      <c r="E558" s="329"/>
      <c r="F558" s="83">
        <f>O558*N558/9</f>
        <v>11234.3</v>
      </c>
      <c r="G558" s="327"/>
      <c r="H558" s="327"/>
      <c r="I558" s="327"/>
      <c r="J558" s="327"/>
      <c r="K558" s="327" t="s">
        <v>330</v>
      </c>
      <c r="L558" s="324" t="s">
        <v>336</v>
      </c>
      <c r="N558" s="1">
        <v>55</v>
      </c>
      <c r="O558" s="43">
        <v>1838.34</v>
      </c>
    </row>
    <row r="559" spans="1:15" ht="25.2" customHeight="1" x14ac:dyDescent="0.4">
      <c r="A559" s="680">
        <v>44869</v>
      </c>
      <c r="B559" s="323" t="s">
        <v>63</v>
      </c>
      <c r="C559" s="172"/>
      <c r="D559" s="172"/>
      <c r="E559" s="173">
        <f>1800+1000+1800</f>
        <v>4600</v>
      </c>
      <c r="F559" s="173"/>
      <c r="G559" s="329"/>
      <c r="H559" s="329"/>
      <c r="I559" s="329"/>
      <c r="J559" s="329"/>
      <c r="K559" s="329" t="s">
        <v>61</v>
      </c>
      <c r="L559" s="328" t="s">
        <v>322</v>
      </c>
    </row>
    <row r="560" spans="1:15" ht="25.2" customHeight="1" x14ac:dyDescent="0.4">
      <c r="A560" s="681"/>
      <c r="B560" s="323" t="s">
        <v>63</v>
      </c>
      <c r="C560" s="323"/>
      <c r="D560" s="323"/>
      <c r="E560" s="329"/>
      <c r="F560" s="83">
        <f>O560*N560/9</f>
        <v>16953.580000000002</v>
      </c>
      <c r="G560" s="327"/>
      <c r="H560" s="327"/>
      <c r="I560" s="327"/>
      <c r="J560" s="327"/>
      <c r="K560" s="327" t="s">
        <v>326</v>
      </c>
      <c r="L560" s="324" t="s">
        <v>323</v>
      </c>
      <c r="N560" s="1">
        <v>83</v>
      </c>
      <c r="O560" s="43">
        <v>1838.34</v>
      </c>
    </row>
    <row r="561" spans="1:15" ht="25.2" customHeight="1" x14ac:dyDescent="0.4">
      <c r="A561" s="680">
        <v>44874</v>
      </c>
      <c r="B561" s="323" t="s">
        <v>63</v>
      </c>
      <c r="C561" s="172"/>
      <c r="D561" s="172"/>
      <c r="E561" s="173">
        <f>1280+1600</f>
        <v>2880</v>
      </c>
      <c r="F561" s="173"/>
      <c r="G561" s="329"/>
      <c r="H561" s="329"/>
      <c r="I561" s="329"/>
      <c r="J561" s="329"/>
      <c r="K561" s="329" t="s">
        <v>61</v>
      </c>
      <c r="L561" s="328" t="s">
        <v>282</v>
      </c>
    </row>
    <row r="562" spans="1:15" ht="25.2" customHeight="1" x14ac:dyDescent="0.4">
      <c r="A562" s="681"/>
      <c r="B562" s="323" t="s">
        <v>63</v>
      </c>
      <c r="C562" s="172"/>
      <c r="D562" s="173">
        <v>1000</v>
      </c>
      <c r="E562" s="173"/>
      <c r="F562" s="173"/>
      <c r="G562" s="329"/>
      <c r="H562" s="329"/>
      <c r="I562" s="329"/>
      <c r="J562" s="329"/>
      <c r="K562" s="327" t="s">
        <v>65</v>
      </c>
      <c r="L562" s="328" t="s">
        <v>296</v>
      </c>
    </row>
    <row r="563" spans="1:15" ht="25.2" customHeight="1" x14ac:dyDescent="0.4">
      <c r="A563" s="681"/>
      <c r="B563" s="323" t="s">
        <v>63</v>
      </c>
      <c r="C563" s="172"/>
      <c r="D563" s="172"/>
      <c r="E563" s="173"/>
      <c r="F563" s="173"/>
      <c r="G563" s="329"/>
      <c r="H563" s="329"/>
      <c r="I563" s="329"/>
      <c r="J563" s="329">
        <v>7500</v>
      </c>
      <c r="K563" s="327" t="s">
        <v>337</v>
      </c>
      <c r="L563" s="328" t="s">
        <v>300</v>
      </c>
    </row>
    <row r="564" spans="1:15" ht="25.2" customHeight="1" x14ac:dyDescent="0.4">
      <c r="A564" s="681"/>
      <c r="B564" s="323" t="s">
        <v>63</v>
      </c>
      <c r="C564" s="323"/>
      <c r="D564" s="323"/>
      <c r="E564" s="329"/>
      <c r="F564" s="83">
        <f>O564*N564/9</f>
        <v>11234.3</v>
      </c>
      <c r="G564" s="327"/>
      <c r="H564" s="327"/>
      <c r="I564" s="327"/>
      <c r="J564" s="327"/>
      <c r="K564" s="327" t="s">
        <v>331</v>
      </c>
      <c r="L564" s="324" t="s">
        <v>327</v>
      </c>
      <c r="N564" s="1">
        <v>55</v>
      </c>
      <c r="O564" s="43">
        <v>1838.34</v>
      </c>
    </row>
    <row r="565" spans="1:15" ht="25.2" customHeight="1" x14ac:dyDescent="0.4">
      <c r="A565" s="682" t="s">
        <v>17</v>
      </c>
      <c r="B565" s="683"/>
      <c r="C565" s="174">
        <f>SUM(C555:C564)</f>
        <v>0</v>
      </c>
      <c r="D565" s="174">
        <f>SUM(D555:D564)</f>
        <v>2000</v>
      </c>
      <c r="E565" s="174">
        <f>SUM(E555:E564)</f>
        <v>8760</v>
      </c>
      <c r="F565" s="174">
        <f>ROUNDDOWN(SUM(F555:F564),0)</f>
        <v>39422</v>
      </c>
      <c r="G565" s="327" t="e">
        <f>SUM(#REF!)</f>
        <v>#REF!</v>
      </c>
      <c r="H565" s="327" t="e">
        <f>SUM(#REF!)</f>
        <v>#REF!</v>
      </c>
      <c r="I565" s="174">
        <f>SUM(I555:I564)</f>
        <v>0</v>
      </c>
      <c r="J565" s="174">
        <f>SUM(J555:J564)</f>
        <v>16000</v>
      </c>
      <c r="K565" s="327"/>
      <c r="L565" s="324"/>
    </row>
    <row r="566" spans="1:15" ht="25.2" customHeight="1" x14ac:dyDescent="0.4">
      <c r="A566" s="684" t="s">
        <v>18</v>
      </c>
      <c r="B566" s="685"/>
      <c r="C566" s="692">
        <f>C565+D565+E565+F565+I565+J565</f>
        <v>66182</v>
      </c>
      <c r="D566" s="693"/>
      <c r="E566" s="693"/>
      <c r="F566" s="693"/>
      <c r="G566" s="693"/>
      <c r="H566" s="693"/>
      <c r="I566" s="693"/>
      <c r="J566" s="694"/>
      <c r="K566" s="326"/>
      <c r="L566" s="325"/>
    </row>
    <row r="569" spans="1:15" ht="25.2" customHeight="1" x14ac:dyDescent="0.4">
      <c r="A569" s="6" t="s">
        <v>0</v>
      </c>
      <c r="B569" s="6" t="s">
        <v>1</v>
      </c>
      <c r="C569" s="6" t="s">
        <v>287</v>
      </c>
      <c r="D569" s="686" t="s">
        <v>345</v>
      </c>
      <c r="E569" s="687"/>
      <c r="F569" s="686" t="s">
        <v>3</v>
      </c>
      <c r="G569" s="688"/>
      <c r="H569" s="688"/>
      <c r="I569" s="687"/>
      <c r="J569" s="6" t="s">
        <v>7</v>
      </c>
      <c r="K569" s="6" t="s">
        <v>60</v>
      </c>
      <c r="L569" s="6" t="s">
        <v>8</v>
      </c>
    </row>
    <row r="570" spans="1:15" ht="25.2" customHeight="1" x14ac:dyDescent="0.4">
      <c r="A570" s="680">
        <v>44880</v>
      </c>
      <c r="B570" s="330" t="s">
        <v>338</v>
      </c>
      <c r="C570" s="172"/>
      <c r="D570" s="173">
        <v>1400</v>
      </c>
      <c r="E570" s="173"/>
      <c r="F570" s="173"/>
      <c r="G570" s="335"/>
      <c r="H570" s="335"/>
      <c r="I570" s="173"/>
      <c r="J570" s="335"/>
      <c r="K570" s="335" t="s">
        <v>61</v>
      </c>
      <c r="L570" s="334" t="s">
        <v>346</v>
      </c>
    </row>
    <row r="571" spans="1:15" ht="25.2" customHeight="1" x14ac:dyDescent="0.4">
      <c r="A571" s="681"/>
      <c r="B571" s="330" t="s">
        <v>338</v>
      </c>
      <c r="C571" s="172"/>
      <c r="D571" s="173">
        <v>1300</v>
      </c>
      <c r="E571" s="173"/>
      <c r="F571" s="173"/>
      <c r="G571" s="335"/>
      <c r="H571" s="335"/>
      <c r="I571" s="173"/>
      <c r="J571" s="335"/>
      <c r="K571" s="335" t="s">
        <v>61</v>
      </c>
      <c r="L571" s="334" t="s">
        <v>339</v>
      </c>
    </row>
    <row r="572" spans="1:15" ht="25.2" customHeight="1" x14ac:dyDescent="0.4">
      <c r="A572" s="681"/>
      <c r="B572" s="330" t="s">
        <v>338</v>
      </c>
      <c r="C572" s="172"/>
      <c r="D572" s="173">
        <v>1200</v>
      </c>
      <c r="E572" s="173"/>
      <c r="F572" s="173"/>
      <c r="G572" s="335"/>
      <c r="H572" s="335"/>
      <c r="I572" s="173"/>
      <c r="J572" s="335"/>
      <c r="K572" s="335" t="s">
        <v>61</v>
      </c>
      <c r="L572" s="334" t="s">
        <v>340</v>
      </c>
    </row>
    <row r="573" spans="1:15" ht="25.2" customHeight="1" x14ac:dyDescent="0.4">
      <c r="A573" s="681"/>
      <c r="B573" s="330" t="s">
        <v>338</v>
      </c>
      <c r="C573" s="172"/>
      <c r="D573" s="173">
        <v>1200</v>
      </c>
      <c r="E573" s="173"/>
      <c r="F573" s="173"/>
      <c r="G573" s="335"/>
      <c r="H573" s="335"/>
      <c r="I573" s="173"/>
      <c r="J573" s="335"/>
      <c r="K573" s="335" t="s">
        <v>61</v>
      </c>
      <c r="L573" s="334" t="s">
        <v>341</v>
      </c>
    </row>
    <row r="574" spans="1:15" ht="25.2" customHeight="1" x14ac:dyDescent="0.4">
      <c r="A574" s="681"/>
      <c r="B574" s="330" t="s">
        <v>338</v>
      </c>
      <c r="C574" s="330"/>
      <c r="D574" s="330"/>
      <c r="E574" s="335"/>
      <c r="F574" s="83">
        <f>O574*N574/9</f>
        <v>25532.5</v>
      </c>
      <c r="G574" s="336"/>
      <c r="H574" s="336"/>
      <c r="I574" s="83"/>
      <c r="J574" s="336"/>
      <c r="K574" s="336"/>
      <c r="L574" s="331" t="s">
        <v>342</v>
      </c>
      <c r="N574" s="1">
        <v>125</v>
      </c>
      <c r="O574" s="43">
        <v>1838.34</v>
      </c>
    </row>
    <row r="575" spans="1:15" ht="25.2" customHeight="1" x14ac:dyDescent="0.4">
      <c r="A575" s="680">
        <v>44881</v>
      </c>
      <c r="B575" s="330" t="s">
        <v>63</v>
      </c>
      <c r="C575" s="172"/>
      <c r="D575" s="172"/>
      <c r="E575" s="173">
        <f>1600+1280</f>
        <v>2880</v>
      </c>
      <c r="F575" s="173"/>
      <c r="G575" s="335"/>
      <c r="H575" s="335"/>
      <c r="I575" s="173"/>
      <c r="J575" s="335"/>
      <c r="K575" s="335" t="s">
        <v>61</v>
      </c>
      <c r="L575" s="334" t="s">
        <v>282</v>
      </c>
    </row>
    <row r="576" spans="1:15" ht="25.2" customHeight="1" x14ac:dyDescent="0.4">
      <c r="A576" s="681"/>
      <c r="B576" s="330" t="s">
        <v>63</v>
      </c>
      <c r="C576" s="173">
        <v>1000</v>
      </c>
      <c r="D576" s="173"/>
      <c r="E576" s="173"/>
      <c r="F576" s="173"/>
      <c r="G576" s="335"/>
      <c r="H576" s="335"/>
      <c r="I576" s="173"/>
      <c r="J576" s="335"/>
      <c r="K576" s="336" t="s">
        <v>91</v>
      </c>
      <c r="L576" s="334" t="s">
        <v>296</v>
      </c>
    </row>
    <row r="577" spans="1:15" ht="25.2" customHeight="1" x14ac:dyDescent="0.4">
      <c r="A577" s="681"/>
      <c r="B577" s="341" t="s">
        <v>63</v>
      </c>
      <c r="C577" s="342"/>
      <c r="D577" s="342"/>
      <c r="E577" s="343"/>
      <c r="F577" s="343"/>
      <c r="G577" s="344"/>
      <c r="H577" s="344"/>
      <c r="I577" s="343"/>
      <c r="J577" s="344">
        <v>7500</v>
      </c>
      <c r="K577" s="345" t="s">
        <v>344</v>
      </c>
      <c r="L577" s="346" t="s">
        <v>300</v>
      </c>
    </row>
    <row r="578" spans="1:15" ht="25.2" customHeight="1" x14ac:dyDescent="0.4">
      <c r="A578" s="681"/>
      <c r="B578" s="330" t="s">
        <v>63</v>
      </c>
      <c r="C578" s="330"/>
      <c r="D578" s="330"/>
      <c r="E578" s="335"/>
      <c r="F578" s="83"/>
      <c r="G578" s="336"/>
      <c r="H578" s="336"/>
      <c r="I578" s="83">
        <f>O578*N578/9</f>
        <v>11234.3</v>
      </c>
      <c r="J578" s="336"/>
      <c r="K578" s="336"/>
      <c r="L578" s="331" t="s">
        <v>327</v>
      </c>
      <c r="N578" s="1">
        <v>55</v>
      </c>
      <c r="O578" s="43">
        <v>1838.34</v>
      </c>
    </row>
    <row r="579" spans="1:15" ht="25.2" customHeight="1" x14ac:dyDescent="0.4">
      <c r="A579" s="682" t="s">
        <v>17</v>
      </c>
      <c r="B579" s="683"/>
      <c r="C579" s="174">
        <f>SUM(C570:C578)</f>
        <v>1000</v>
      </c>
      <c r="D579" s="174">
        <f>SUM(D570:D578)</f>
        <v>5100</v>
      </c>
      <c r="E579" s="174">
        <f>SUM(E570:E578)</f>
        <v>2880</v>
      </c>
      <c r="F579" s="174">
        <f>ROUNDDOWN(SUM(F570:F578),0)</f>
        <v>25532</v>
      </c>
      <c r="G579" s="336" t="e">
        <f>SUM(#REF!)</f>
        <v>#REF!</v>
      </c>
      <c r="H579" s="336" t="e">
        <f>SUM(#REF!)</f>
        <v>#REF!</v>
      </c>
      <c r="I579" s="174">
        <f>ROUNDDOWN(SUM(I570:I578),0)</f>
        <v>11234</v>
      </c>
      <c r="J579" s="174">
        <f>SUM(J570:J578)</f>
        <v>7500</v>
      </c>
      <c r="K579" s="336"/>
      <c r="L579" s="331" t="s">
        <v>343</v>
      </c>
    </row>
    <row r="580" spans="1:15" ht="25.2" customHeight="1" x14ac:dyDescent="0.4">
      <c r="A580" s="684" t="s">
        <v>18</v>
      </c>
      <c r="B580" s="685"/>
      <c r="C580" s="692">
        <f>C579+D579+E579+F579+I579+J579</f>
        <v>53246</v>
      </c>
      <c r="D580" s="693"/>
      <c r="E580" s="693"/>
      <c r="F580" s="693"/>
      <c r="G580" s="693"/>
      <c r="H580" s="693"/>
      <c r="I580" s="693"/>
      <c r="J580" s="694"/>
      <c r="K580" s="333"/>
      <c r="L580" s="332"/>
    </row>
    <row r="582" spans="1:15" ht="25.2" customHeight="1" x14ac:dyDescent="0.4">
      <c r="A582" s="6" t="s">
        <v>0</v>
      </c>
      <c r="B582" s="6" t="s">
        <v>1</v>
      </c>
      <c r="C582" s="6" t="s">
        <v>287</v>
      </c>
      <c r="D582" s="686" t="s">
        <v>345</v>
      </c>
      <c r="E582" s="687"/>
      <c r="F582" s="686" t="s">
        <v>3</v>
      </c>
      <c r="G582" s="688"/>
      <c r="H582" s="688"/>
      <c r="I582" s="687"/>
      <c r="J582" s="6" t="s">
        <v>7</v>
      </c>
      <c r="K582" s="6" t="s">
        <v>60</v>
      </c>
      <c r="L582" s="6" t="s">
        <v>8</v>
      </c>
    </row>
    <row r="583" spans="1:15" ht="25.2" customHeight="1" x14ac:dyDescent="0.4">
      <c r="A583" s="648">
        <v>44888</v>
      </c>
      <c r="B583" s="347" t="s">
        <v>63</v>
      </c>
      <c r="C583" s="348"/>
      <c r="D583" s="348"/>
      <c r="E583" s="349">
        <f>1600+1280</f>
        <v>2880</v>
      </c>
      <c r="F583" s="349"/>
      <c r="G583" s="350"/>
      <c r="H583" s="350"/>
      <c r="I583" s="349"/>
      <c r="J583" s="350"/>
      <c r="K583" s="350" t="s">
        <v>61</v>
      </c>
      <c r="L583" s="351" t="s">
        <v>352</v>
      </c>
    </row>
    <row r="584" spans="1:15" ht="25.2" customHeight="1" x14ac:dyDescent="0.4">
      <c r="A584" s="661"/>
      <c r="B584" s="347" t="s">
        <v>63</v>
      </c>
      <c r="C584" s="349">
        <v>1000</v>
      </c>
      <c r="D584" s="349"/>
      <c r="E584" s="349"/>
      <c r="F584" s="349"/>
      <c r="G584" s="350"/>
      <c r="H584" s="350"/>
      <c r="I584" s="349"/>
      <c r="J584" s="350"/>
      <c r="K584" s="352" t="s">
        <v>348</v>
      </c>
      <c r="L584" s="351" t="s">
        <v>353</v>
      </c>
    </row>
    <row r="585" spans="1:15" ht="25.2" customHeight="1" x14ac:dyDescent="0.4">
      <c r="A585" s="661"/>
      <c r="B585" s="347" t="s">
        <v>63</v>
      </c>
      <c r="C585" s="348"/>
      <c r="D585" s="348"/>
      <c r="E585" s="349"/>
      <c r="F585" s="349"/>
      <c r="G585" s="350"/>
      <c r="H585" s="350"/>
      <c r="I585" s="349"/>
      <c r="J585" s="350">
        <v>8900</v>
      </c>
      <c r="K585" s="352" t="s">
        <v>350</v>
      </c>
      <c r="L585" s="351" t="s">
        <v>300</v>
      </c>
    </row>
    <row r="586" spans="1:15" ht="25.2" customHeight="1" x14ac:dyDescent="0.4">
      <c r="A586" s="661"/>
      <c r="B586" s="347" t="s">
        <v>63</v>
      </c>
      <c r="C586" s="347"/>
      <c r="D586" s="347"/>
      <c r="E586" s="350"/>
      <c r="F586" s="353"/>
      <c r="G586" s="352"/>
      <c r="H586" s="352"/>
      <c r="I586" s="353">
        <f>O586*N586/9</f>
        <v>11234.3</v>
      </c>
      <c r="J586" s="352"/>
      <c r="K586" s="352"/>
      <c r="L586" s="354" t="s">
        <v>327</v>
      </c>
      <c r="N586" s="1">
        <v>55</v>
      </c>
      <c r="O586" s="43">
        <v>1838.34</v>
      </c>
    </row>
    <row r="587" spans="1:15" ht="25.2" customHeight="1" x14ac:dyDescent="0.4">
      <c r="A587" s="648">
        <v>44895</v>
      </c>
      <c r="B587" s="347" t="s">
        <v>63</v>
      </c>
      <c r="C587" s="348"/>
      <c r="D587" s="348"/>
      <c r="E587" s="349">
        <f>1600</f>
        <v>1600</v>
      </c>
      <c r="F587" s="349"/>
      <c r="G587" s="350"/>
      <c r="H587" s="350"/>
      <c r="I587" s="349"/>
      <c r="J587" s="350"/>
      <c r="K587" s="350" t="s">
        <v>347</v>
      </c>
      <c r="L587" s="351" t="s">
        <v>282</v>
      </c>
    </row>
    <row r="588" spans="1:15" ht="25.2" customHeight="1" x14ac:dyDescent="0.4">
      <c r="A588" s="661"/>
      <c r="B588" s="347" t="s">
        <v>63</v>
      </c>
      <c r="C588" s="349">
        <v>1000</v>
      </c>
      <c r="D588" s="349"/>
      <c r="E588" s="349"/>
      <c r="F588" s="349"/>
      <c r="G588" s="350"/>
      <c r="H588" s="350"/>
      <c r="I588" s="349"/>
      <c r="J588" s="350"/>
      <c r="K588" s="352" t="s">
        <v>349</v>
      </c>
      <c r="L588" s="351" t="s">
        <v>296</v>
      </c>
    </row>
    <row r="589" spans="1:15" ht="25.2" customHeight="1" x14ac:dyDescent="0.4">
      <c r="A589" s="661"/>
      <c r="B589" s="347" t="s">
        <v>63</v>
      </c>
      <c r="C589" s="348"/>
      <c r="D589" s="348"/>
      <c r="E589" s="349"/>
      <c r="F589" s="349"/>
      <c r="G589" s="350"/>
      <c r="H589" s="350"/>
      <c r="I589" s="349"/>
      <c r="J589" s="350">
        <v>8000</v>
      </c>
      <c r="K589" s="352" t="s">
        <v>351</v>
      </c>
      <c r="L589" s="351" t="s">
        <v>300</v>
      </c>
    </row>
    <row r="590" spans="1:15" ht="25.2" customHeight="1" x14ac:dyDescent="0.4">
      <c r="A590" s="661"/>
      <c r="B590" s="347" t="s">
        <v>63</v>
      </c>
      <c r="C590" s="347"/>
      <c r="D590" s="347"/>
      <c r="E590" s="350"/>
      <c r="F590" s="353"/>
      <c r="G590" s="352"/>
      <c r="H590" s="352"/>
      <c r="I590" s="353">
        <f>O590*N590/9</f>
        <v>11234.3</v>
      </c>
      <c r="J590" s="352"/>
      <c r="K590" s="352"/>
      <c r="L590" s="354" t="s">
        <v>354</v>
      </c>
      <c r="N590" s="1">
        <v>55</v>
      </c>
      <c r="O590" s="43">
        <v>1838.34</v>
      </c>
    </row>
    <row r="591" spans="1:15" ht="25.2" customHeight="1" x14ac:dyDescent="0.4">
      <c r="A591" s="712" t="s">
        <v>17</v>
      </c>
      <c r="B591" s="713"/>
      <c r="C591" s="355">
        <f>SUM(C583:C590)</f>
        <v>2000</v>
      </c>
      <c r="D591" s="355">
        <f>SUM(D583:D590)</f>
        <v>0</v>
      </c>
      <c r="E591" s="355">
        <f>SUM(E583:E590)</f>
        <v>4480</v>
      </c>
      <c r="F591" s="355">
        <f>ROUNDDOWN(SUM(F583:F590),0)</f>
        <v>0</v>
      </c>
      <c r="G591" s="352" t="e">
        <f>SUM(#REF!)</f>
        <v>#REF!</v>
      </c>
      <c r="H591" s="352" t="e">
        <f>SUM(#REF!)</f>
        <v>#REF!</v>
      </c>
      <c r="I591" s="355">
        <f>ROUNDDOWN(SUM(I583:I590),0)</f>
        <v>22468</v>
      </c>
      <c r="J591" s="355">
        <f>SUM(J583:J590)</f>
        <v>16900</v>
      </c>
      <c r="K591" s="352"/>
      <c r="L591" s="354" t="s">
        <v>343</v>
      </c>
    </row>
    <row r="592" spans="1:15" ht="25.2" customHeight="1" x14ac:dyDescent="0.4">
      <c r="A592" s="684" t="s">
        <v>18</v>
      </c>
      <c r="B592" s="685"/>
      <c r="C592" s="692">
        <f>C591+D591+E591+F591+I591+J591</f>
        <v>45848</v>
      </c>
      <c r="D592" s="693"/>
      <c r="E592" s="693"/>
      <c r="F592" s="693"/>
      <c r="G592" s="693"/>
      <c r="H592" s="693"/>
      <c r="I592" s="693"/>
      <c r="J592" s="694"/>
      <c r="K592" s="338"/>
      <c r="L592" s="337"/>
    </row>
    <row r="594" spans="1:15" ht="25.2" customHeight="1" x14ac:dyDescent="0.4">
      <c r="A594" s="6" t="s">
        <v>0</v>
      </c>
      <c r="B594" s="6" t="s">
        <v>1</v>
      </c>
      <c r="C594" s="6" t="s">
        <v>287</v>
      </c>
      <c r="D594" s="686" t="s">
        <v>74</v>
      </c>
      <c r="E594" s="687"/>
      <c r="F594" s="686" t="s">
        <v>3</v>
      </c>
      <c r="G594" s="688"/>
      <c r="H594" s="688"/>
      <c r="I594" s="687"/>
      <c r="J594" s="6" t="s">
        <v>7</v>
      </c>
      <c r="K594" s="6" t="s">
        <v>60</v>
      </c>
      <c r="L594" s="6" t="s">
        <v>8</v>
      </c>
    </row>
    <row r="595" spans="1:15" ht="25.2" customHeight="1" x14ac:dyDescent="0.4">
      <c r="A595" s="648">
        <v>44902</v>
      </c>
      <c r="B595" s="347" t="s">
        <v>63</v>
      </c>
      <c r="C595" s="358"/>
      <c r="D595" s="358"/>
      <c r="E595" s="359">
        <v>1600</v>
      </c>
      <c r="F595" s="359"/>
      <c r="G595" s="359"/>
      <c r="H595" s="359"/>
      <c r="I595" s="359"/>
      <c r="J595" s="359"/>
      <c r="K595" s="350" t="s">
        <v>61</v>
      </c>
      <c r="L595" s="351" t="s">
        <v>282</v>
      </c>
    </row>
    <row r="596" spans="1:15" ht="25.2" customHeight="1" x14ac:dyDescent="0.4">
      <c r="A596" s="661"/>
      <c r="B596" s="347" t="s">
        <v>63</v>
      </c>
      <c r="C596" s="359">
        <v>1000</v>
      </c>
      <c r="D596" s="359"/>
      <c r="E596" s="359"/>
      <c r="F596" s="359"/>
      <c r="G596" s="359"/>
      <c r="H596" s="359"/>
      <c r="I596" s="359"/>
      <c r="J596" s="359"/>
      <c r="K596" s="352" t="s">
        <v>64</v>
      </c>
      <c r="L596" s="351" t="s">
        <v>296</v>
      </c>
    </row>
    <row r="597" spans="1:15" ht="25.2" customHeight="1" x14ac:dyDescent="0.4">
      <c r="A597" s="661"/>
      <c r="B597" s="347" t="s">
        <v>63</v>
      </c>
      <c r="C597" s="358"/>
      <c r="D597" s="358"/>
      <c r="E597" s="359"/>
      <c r="F597" s="359"/>
      <c r="G597" s="359"/>
      <c r="H597" s="359"/>
      <c r="I597" s="359"/>
      <c r="J597" s="359">
        <v>8900</v>
      </c>
      <c r="K597" s="352" t="s">
        <v>65</v>
      </c>
      <c r="L597" s="351" t="s">
        <v>300</v>
      </c>
    </row>
    <row r="598" spans="1:15" ht="25.2" customHeight="1" x14ac:dyDescent="0.4">
      <c r="A598" s="661"/>
      <c r="B598" s="347" t="s">
        <v>63</v>
      </c>
      <c r="C598" s="358"/>
      <c r="D598" s="358"/>
      <c r="E598" s="359"/>
      <c r="F598" s="360"/>
      <c r="G598" s="360"/>
      <c r="H598" s="360"/>
      <c r="I598" s="360">
        <f>O598*N598/9</f>
        <v>11483.694444444445</v>
      </c>
      <c r="J598" s="360"/>
      <c r="K598" s="352" t="s">
        <v>364</v>
      </c>
      <c r="L598" s="354" t="s">
        <v>360</v>
      </c>
      <c r="N598" s="1">
        <v>55</v>
      </c>
      <c r="O598" s="43">
        <v>1879.15</v>
      </c>
    </row>
    <row r="599" spans="1:15" ht="25.2" customHeight="1" x14ac:dyDescent="0.4">
      <c r="A599" s="648">
        <v>44909</v>
      </c>
      <c r="B599" s="347" t="s">
        <v>63</v>
      </c>
      <c r="C599" s="358"/>
      <c r="D599" s="358"/>
      <c r="E599" s="359">
        <f>1600+1600</f>
        <v>3200</v>
      </c>
      <c r="F599" s="359"/>
      <c r="G599" s="359"/>
      <c r="H599" s="359"/>
      <c r="I599" s="359"/>
      <c r="J599" s="359"/>
      <c r="K599" s="350" t="s">
        <v>62</v>
      </c>
      <c r="L599" s="351" t="s">
        <v>282</v>
      </c>
    </row>
    <row r="600" spans="1:15" ht="25.2" customHeight="1" x14ac:dyDescent="0.4">
      <c r="A600" s="661"/>
      <c r="B600" s="347" t="s">
        <v>63</v>
      </c>
      <c r="C600" s="359">
        <v>1000</v>
      </c>
      <c r="D600" s="359"/>
      <c r="E600" s="359"/>
      <c r="F600" s="359"/>
      <c r="G600" s="359"/>
      <c r="H600" s="359"/>
      <c r="I600" s="359"/>
      <c r="J600" s="359"/>
      <c r="K600" s="352" t="s">
        <v>64</v>
      </c>
      <c r="L600" s="351" t="s">
        <v>296</v>
      </c>
    </row>
    <row r="601" spans="1:15" ht="25.2" customHeight="1" x14ac:dyDescent="0.4">
      <c r="A601" s="661"/>
      <c r="B601" s="347" t="s">
        <v>63</v>
      </c>
      <c r="C601" s="358"/>
      <c r="D601" s="358"/>
      <c r="E601" s="359"/>
      <c r="F601" s="360"/>
      <c r="G601" s="360"/>
      <c r="H601" s="360"/>
      <c r="I601" s="360">
        <f>O601*N601/9</f>
        <v>11483.694444444445</v>
      </c>
      <c r="J601" s="360"/>
      <c r="K601" s="352" t="s">
        <v>364</v>
      </c>
      <c r="L601" s="354" t="s">
        <v>361</v>
      </c>
      <c r="N601" s="1">
        <v>55</v>
      </c>
      <c r="O601" s="43">
        <v>1879.15</v>
      </c>
    </row>
    <row r="602" spans="1:15" ht="25.2" customHeight="1" x14ac:dyDescent="0.4">
      <c r="A602" s="648">
        <v>44910</v>
      </c>
      <c r="B602" s="347" t="s">
        <v>63</v>
      </c>
      <c r="C602" s="358"/>
      <c r="D602" s="358"/>
      <c r="E602" s="359">
        <f>2300+2300</f>
        <v>4600</v>
      </c>
      <c r="F602" s="359"/>
      <c r="G602" s="359"/>
      <c r="H602" s="359"/>
      <c r="I602" s="359"/>
      <c r="J602" s="359"/>
      <c r="K602" s="350" t="s">
        <v>359</v>
      </c>
      <c r="L602" s="351" t="s">
        <v>355</v>
      </c>
    </row>
    <row r="603" spans="1:15" ht="25.2" customHeight="1" x14ac:dyDescent="0.4">
      <c r="A603" s="661"/>
      <c r="B603" s="347"/>
      <c r="C603" s="358"/>
      <c r="D603" s="358"/>
      <c r="E603" s="359">
        <v>102600</v>
      </c>
      <c r="F603" s="359"/>
      <c r="G603" s="359"/>
      <c r="H603" s="359"/>
      <c r="I603" s="359"/>
      <c r="J603" s="359"/>
      <c r="K603" s="350" t="s">
        <v>365</v>
      </c>
      <c r="L603" s="351" t="s">
        <v>357</v>
      </c>
    </row>
    <row r="604" spans="1:15" ht="25.2" customHeight="1" x14ac:dyDescent="0.4">
      <c r="A604" s="661"/>
      <c r="B604" s="347"/>
      <c r="C604" s="358"/>
      <c r="D604" s="358"/>
      <c r="E604" s="359">
        <v>102600</v>
      </c>
      <c r="F604" s="359"/>
      <c r="G604" s="359"/>
      <c r="H604" s="359"/>
      <c r="I604" s="359"/>
      <c r="J604" s="359"/>
      <c r="K604" s="350" t="s">
        <v>72</v>
      </c>
      <c r="L604" s="351" t="s">
        <v>358</v>
      </c>
    </row>
    <row r="605" spans="1:15" ht="25.2" customHeight="1" x14ac:dyDescent="0.4">
      <c r="A605" s="661"/>
      <c r="B605" s="347" t="s">
        <v>63</v>
      </c>
      <c r="C605" s="359">
        <v>9100</v>
      </c>
      <c r="D605" s="359"/>
      <c r="E605" s="359"/>
      <c r="F605" s="359"/>
      <c r="G605" s="359"/>
      <c r="H605" s="359"/>
      <c r="I605" s="359"/>
      <c r="J605" s="359"/>
      <c r="K605" s="352" t="s">
        <v>64</v>
      </c>
      <c r="L605" s="351" t="s">
        <v>296</v>
      </c>
    </row>
    <row r="606" spans="1:15" ht="25.2" customHeight="1" x14ac:dyDescent="0.4">
      <c r="A606" s="661"/>
      <c r="B606" s="347" t="s">
        <v>63</v>
      </c>
      <c r="C606" s="358"/>
      <c r="D606" s="358"/>
      <c r="E606" s="359"/>
      <c r="F606" s="359"/>
      <c r="G606" s="359"/>
      <c r="H606" s="359"/>
      <c r="I606" s="359"/>
      <c r="J606" s="359">
        <v>16800</v>
      </c>
      <c r="K606" s="352" t="s">
        <v>67</v>
      </c>
      <c r="L606" s="351" t="s">
        <v>356</v>
      </c>
    </row>
    <row r="607" spans="1:15" ht="25.2" customHeight="1" x14ac:dyDescent="0.4">
      <c r="A607" s="661"/>
      <c r="B607" s="347" t="s">
        <v>63</v>
      </c>
      <c r="C607" s="358"/>
      <c r="D607" s="358"/>
      <c r="E607" s="359"/>
      <c r="F607" s="360"/>
      <c r="G607" s="360"/>
      <c r="H607" s="360"/>
      <c r="I607" s="360">
        <f>O607*N607/9</f>
        <v>14615.611111111111</v>
      </c>
      <c r="J607" s="360"/>
      <c r="K607" s="352" t="s">
        <v>66</v>
      </c>
      <c r="L607" s="354" t="s">
        <v>362</v>
      </c>
      <c r="N607" s="1">
        <f>35+35</f>
        <v>70</v>
      </c>
      <c r="O607" s="43">
        <v>1879.15</v>
      </c>
    </row>
    <row r="608" spans="1:15" ht="25.2" customHeight="1" x14ac:dyDescent="0.4">
      <c r="A608" s="712" t="s">
        <v>17</v>
      </c>
      <c r="B608" s="713"/>
      <c r="C608" s="360">
        <f>SUM(C595:C607)</f>
        <v>11100</v>
      </c>
      <c r="D608" s="360">
        <f>SUM(D595:D607)</f>
        <v>0</v>
      </c>
      <c r="E608" s="360">
        <f>SUM(E595:E607)</f>
        <v>214600</v>
      </c>
      <c r="F608" s="360">
        <f>ROUNDDOWN(SUM(F595:F607),0)</f>
        <v>0</v>
      </c>
      <c r="G608" s="360" t="e">
        <f>SUM(#REF!)</f>
        <v>#REF!</v>
      </c>
      <c r="H608" s="360" t="e">
        <f>SUM(#REF!)</f>
        <v>#REF!</v>
      </c>
      <c r="I608" s="360">
        <f>ROUNDDOWN(SUM(I595:I607),0)</f>
        <v>37583</v>
      </c>
      <c r="J608" s="360">
        <f>SUM(J595:J607)</f>
        <v>25700</v>
      </c>
      <c r="K608" s="352" t="s">
        <v>364</v>
      </c>
      <c r="L608" s="354" t="s">
        <v>363</v>
      </c>
    </row>
    <row r="609" spans="1:15" ht="25.2" customHeight="1" x14ac:dyDescent="0.4">
      <c r="A609" s="684" t="s">
        <v>18</v>
      </c>
      <c r="B609" s="685"/>
      <c r="C609" s="674">
        <f>C608+D608+E608+F608+I608+J608</f>
        <v>288983</v>
      </c>
      <c r="D609" s="675"/>
      <c r="E609" s="675"/>
      <c r="F609" s="675"/>
      <c r="G609" s="675"/>
      <c r="H609" s="675"/>
      <c r="I609" s="675"/>
      <c r="J609" s="676"/>
      <c r="K609" s="340"/>
      <c r="L609" s="339"/>
    </row>
    <row r="612" spans="1:15" ht="25.2" customHeight="1" x14ac:dyDescent="0.4">
      <c r="A612" s="6" t="s">
        <v>0</v>
      </c>
      <c r="B612" s="6" t="s">
        <v>1</v>
      </c>
      <c r="C612" s="6" t="s">
        <v>4</v>
      </c>
      <c r="D612" s="6" t="s">
        <v>287</v>
      </c>
      <c r="E612" s="6" t="s">
        <v>74</v>
      </c>
      <c r="F612" s="6" t="s">
        <v>3</v>
      </c>
      <c r="G612" s="6" t="s">
        <v>4</v>
      </c>
      <c r="H612" s="6" t="s">
        <v>5</v>
      </c>
      <c r="I612" s="6" t="s">
        <v>6</v>
      </c>
      <c r="J612" s="6" t="s">
        <v>7</v>
      </c>
      <c r="K612" s="6" t="s">
        <v>60</v>
      </c>
      <c r="L612" s="6" t="s">
        <v>8</v>
      </c>
    </row>
    <row r="613" spans="1:15" ht="25.2" customHeight="1" x14ac:dyDescent="0.4">
      <c r="A613" s="660">
        <v>44937</v>
      </c>
      <c r="B613" s="363" t="s">
        <v>63</v>
      </c>
      <c r="C613" s="364"/>
      <c r="D613" s="364"/>
      <c r="E613" s="360">
        <f>1600+1280</f>
        <v>2880</v>
      </c>
      <c r="F613" s="360"/>
      <c r="G613" s="360"/>
      <c r="H613" s="360"/>
      <c r="I613" s="360"/>
      <c r="J613" s="360"/>
      <c r="K613" s="352" t="s">
        <v>61</v>
      </c>
      <c r="L613" s="354" t="s">
        <v>369</v>
      </c>
    </row>
    <row r="614" spans="1:15" ht="25.2" customHeight="1" x14ac:dyDescent="0.4">
      <c r="A614" s="660"/>
      <c r="B614" s="363" t="s">
        <v>63</v>
      </c>
      <c r="C614" s="360"/>
      <c r="D614" s="360"/>
      <c r="E614" s="360"/>
      <c r="F614" s="360"/>
      <c r="G614" s="360"/>
      <c r="H614" s="360"/>
      <c r="I614" s="360"/>
      <c r="J614" s="360">
        <v>9100</v>
      </c>
      <c r="K614" s="352" t="s">
        <v>366</v>
      </c>
      <c r="L614" s="354" t="s">
        <v>300</v>
      </c>
    </row>
    <row r="615" spans="1:15" ht="25.2" customHeight="1" x14ac:dyDescent="0.4">
      <c r="A615" s="660"/>
      <c r="B615" s="363" t="s">
        <v>63</v>
      </c>
      <c r="C615" s="364"/>
      <c r="D615" s="364"/>
      <c r="E615" s="360"/>
      <c r="F615" s="360">
        <f>O615*N615/9</f>
        <v>32692.183333333334</v>
      </c>
      <c r="G615" s="360"/>
      <c r="H615" s="360"/>
      <c r="I615" s="360"/>
      <c r="J615" s="360"/>
      <c r="K615" s="352" t="s">
        <v>367</v>
      </c>
      <c r="L615" s="354" t="s">
        <v>370</v>
      </c>
      <c r="N615" s="1">
        <v>165</v>
      </c>
      <c r="O615" s="43">
        <v>1783.21</v>
      </c>
    </row>
    <row r="616" spans="1:15" ht="25.2" customHeight="1" x14ac:dyDescent="0.4">
      <c r="A616" s="662" t="s">
        <v>17</v>
      </c>
      <c r="B616" s="662"/>
      <c r="C616" s="360">
        <f>SUM(C613:C615)</f>
        <v>0</v>
      </c>
      <c r="D616" s="360">
        <f>SUM(D613:D615)</f>
        <v>0</v>
      </c>
      <c r="E616" s="360">
        <f>SUM(E613:E615)</f>
        <v>2880</v>
      </c>
      <c r="F616" s="360">
        <f>ROUNDDOWN(SUM(F613:F615),0)</f>
        <v>32692</v>
      </c>
      <c r="G616" s="360" t="e">
        <f>SUM(#REF!)</f>
        <v>#REF!</v>
      </c>
      <c r="H616" s="360" t="e">
        <f>SUM(#REF!)</f>
        <v>#REF!</v>
      </c>
      <c r="I616" s="360">
        <f>SUM(I613:I615)</f>
        <v>0</v>
      </c>
      <c r="J616" s="360">
        <f>SUM(J613:J615)</f>
        <v>9100</v>
      </c>
      <c r="K616" s="352" t="s">
        <v>85</v>
      </c>
      <c r="L616" s="354" t="s">
        <v>368</v>
      </c>
    </row>
    <row r="617" spans="1:15" ht="25.2" customHeight="1" x14ac:dyDescent="0.4">
      <c r="A617" s="659" t="s">
        <v>18</v>
      </c>
      <c r="B617" s="659"/>
      <c r="C617" s="657">
        <f>C616+D616+E616+F616+I616+J616</f>
        <v>44672</v>
      </c>
      <c r="D617" s="657"/>
      <c r="E617" s="657"/>
      <c r="F617" s="657"/>
      <c r="G617" s="657"/>
      <c r="H617" s="657"/>
      <c r="I617" s="657"/>
      <c r="J617" s="657"/>
      <c r="K617" s="357"/>
      <c r="L617" s="356"/>
    </row>
    <row r="627" spans="1:15" ht="25.2" customHeight="1" x14ac:dyDescent="0.4">
      <c r="A627" s="6" t="s">
        <v>0</v>
      </c>
      <c r="B627" s="6" t="s">
        <v>1</v>
      </c>
      <c r="C627" s="6" t="s">
        <v>4</v>
      </c>
      <c r="D627" s="6" t="s">
        <v>287</v>
      </c>
      <c r="E627" s="6" t="s">
        <v>74</v>
      </c>
      <c r="F627" s="6" t="s">
        <v>3</v>
      </c>
      <c r="G627" s="6" t="s">
        <v>4</v>
      </c>
      <c r="H627" s="6" t="s">
        <v>5</v>
      </c>
      <c r="I627" s="6" t="s">
        <v>6</v>
      </c>
      <c r="J627" s="6" t="s">
        <v>7</v>
      </c>
      <c r="K627" s="6" t="s">
        <v>60</v>
      </c>
      <c r="L627" s="6" t="s">
        <v>8</v>
      </c>
    </row>
    <row r="628" spans="1:15" ht="25.2" customHeight="1" x14ac:dyDescent="0.4">
      <c r="A628" s="660">
        <v>44939</v>
      </c>
      <c r="B628" s="363" t="s">
        <v>63</v>
      </c>
      <c r="C628" s="364"/>
      <c r="D628" s="364"/>
      <c r="E628" s="360">
        <f>1600+1280</f>
        <v>2880</v>
      </c>
      <c r="F628" s="360"/>
      <c r="G628" s="360"/>
      <c r="H628" s="360"/>
      <c r="I628" s="360"/>
      <c r="J628" s="360"/>
      <c r="K628" s="352" t="s">
        <v>61</v>
      </c>
      <c r="L628" s="365" t="s">
        <v>377</v>
      </c>
    </row>
    <row r="629" spans="1:15" ht="25.2" customHeight="1" x14ac:dyDescent="0.4">
      <c r="A629" s="661"/>
      <c r="B629" s="363" t="s">
        <v>63</v>
      </c>
      <c r="C629" s="360"/>
      <c r="D629" s="360"/>
      <c r="E629" s="360"/>
      <c r="F629" s="360"/>
      <c r="G629" s="360"/>
      <c r="H629" s="360"/>
      <c r="I629" s="360"/>
      <c r="J629" s="360">
        <v>7500</v>
      </c>
      <c r="K629" s="352" t="s">
        <v>62</v>
      </c>
      <c r="L629" s="365" t="s">
        <v>382</v>
      </c>
    </row>
    <row r="630" spans="1:15" ht="25.2" customHeight="1" x14ac:dyDescent="0.4">
      <c r="A630" s="649"/>
      <c r="B630" s="363" t="s">
        <v>63</v>
      </c>
      <c r="C630" s="364"/>
      <c r="D630" s="364"/>
      <c r="E630" s="360"/>
      <c r="F630" s="360">
        <f>O630*N630/9</f>
        <v>10897.394444444444</v>
      </c>
      <c r="G630" s="360"/>
      <c r="H630" s="360"/>
      <c r="I630" s="360"/>
      <c r="J630" s="360"/>
      <c r="K630" s="352" t="s">
        <v>64</v>
      </c>
      <c r="L630" s="365" t="s">
        <v>381</v>
      </c>
      <c r="N630" s="1">
        <v>55</v>
      </c>
      <c r="O630" s="43">
        <v>1783.21</v>
      </c>
    </row>
    <row r="631" spans="1:15" ht="25.2" customHeight="1" x14ac:dyDescent="0.4">
      <c r="A631" s="712" t="s">
        <v>17</v>
      </c>
      <c r="B631" s="713"/>
      <c r="C631" s="360">
        <f>SUM(C628:C630)</f>
        <v>0</v>
      </c>
      <c r="D631" s="360">
        <f>SUM(D628:D630)</f>
        <v>0</v>
      </c>
      <c r="E631" s="360">
        <f>SUM(E628:E630)</f>
        <v>2880</v>
      </c>
      <c r="F631" s="360">
        <f>ROUNDDOWN(SUM(F628:F630),0)</f>
        <v>10897</v>
      </c>
      <c r="G631" s="360" t="e">
        <f>SUM(#REF!)</f>
        <v>#REF!</v>
      </c>
      <c r="H631" s="360" t="e">
        <f>SUM(#REF!)</f>
        <v>#REF!</v>
      </c>
      <c r="I631" s="360">
        <f>SUM(I628:I630)</f>
        <v>0</v>
      </c>
      <c r="J631" s="360">
        <f>SUM(J628:J630)</f>
        <v>7500</v>
      </c>
      <c r="K631" s="352" t="s">
        <v>85</v>
      </c>
      <c r="L631" s="365" t="s">
        <v>368</v>
      </c>
    </row>
    <row r="632" spans="1:15" ht="25.2" customHeight="1" x14ac:dyDescent="0.4">
      <c r="A632" s="684" t="s">
        <v>18</v>
      </c>
      <c r="B632" s="685"/>
      <c r="C632" s="674">
        <f>C631+D631+E631+F631+I631+J631</f>
        <v>21277</v>
      </c>
      <c r="D632" s="675"/>
      <c r="E632" s="675"/>
      <c r="F632" s="675"/>
      <c r="G632" s="675"/>
      <c r="H632" s="675"/>
      <c r="I632" s="675"/>
      <c r="J632" s="676"/>
      <c r="K632" s="362"/>
      <c r="L632" s="361"/>
    </row>
    <row r="634" spans="1:15" ht="25.2" customHeight="1" x14ac:dyDescent="0.4">
      <c r="A634" s="6" t="s">
        <v>0</v>
      </c>
      <c r="B634" s="6" t="s">
        <v>1</v>
      </c>
      <c r="C634" s="6" t="s">
        <v>4</v>
      </c>
      <c r="D634" s="6" t="s">
        <v>287</v>
      </c>
      <c r="E634" s="6" t="s">
        <v>74</v>
      </c>
      <c r="F634" s="6" t="s">
        <v>3</v>
      </c>
      <c r="G634" s="6" t="s">
        <v>4</v>
      </c>
      <c r="H634" s="6" t="s">
        <v>5</v>
      </c>
      <c r="I634" s="6" t="s">
        <v>6</v>
      </c>
      <c r="J634" s="6" t="s">
        <v>7</v>
      </c>
      <c r="K634" s="6" t="s">
        <v>60</v>
      </c>
      <c r="L634" s="6" t="s">
        <v>8</v>
      </c>
    </row>
    <row r="635" spans="1:15" ht="25.2" customHeight="1" x14ac:dyDescent="0.4">
      <c r="A635" s="648">
        <v>44953</v>
      </c>
      <c r="B635" s="363" t="s">
        <v>63</v>
      </c>
      <c r="C635" s="364"/>
      <c r="D635" s="364"/>
      <c r="E635" s="360">
        <f>1600+1280</f>
        <v>2880</v>
      </c>
      <c r="F635" s="360"/>
      <c r="G635" s="360"/>
      <c r="H635" s="360"/>
      <c r="I635" s="360"/>
      <c r="J635" s="360"/>
      <c r="K635" s="352" t="s">
        <v>61</v>
      </c>
      <c r="L635" s="365" t="s">
        <v>378</v>
      </c>
    </row>
    <row r="636" spans="1:15" ht="25.2" customHeight="1" x14ac:dyDescent="0.4">
      <c r="A636" s="661"/>
      <c r="B636" s="363" t="s">
        <v>63</v>
      </c>
      <c r="C636" s="360"/>
      <c r="D636" s="360"/>
      <c r="E636" s="360"/>
      <c r="F636" s="360"/>
      <c r="G636" s="360"/>
      <c r="H636" s="360"/>
      <c r="I636" s="360"/>
      <c r="J636" s="360">
        <v>14600</v>
      </c>
      <c r="K636" s="352" t="s">
        <v>62</v>
      </c>
      <c r="L636" s="365" t="s">
        <v>379</v>
      </c>
    </row>
    <row r="637" spans="1:15" ht="25.2" customHeight="1" x14ac:dyDescent="0.4">
      <c r="A637" s="661"/>
      <c r="B637" s="363"/>
      <c r="C637" s="360"/>
      <c r="D637" s="360">
        <v>1000</v>
      </c>
      <c r="E637" s="360"/>
      <c r="F637" s="360"/>
      <c r="G637" s="360"/>
      <c r="H637" s="360"/>
      <c r="I637" s="360"/>
      <c r="J637" s="360"/>
      <c r="K637" s="352" t="s">
        <v>62</v>
      </c>
      <c r="L637" s="365" t="s">
        <v>380</v>
      </c>
    </row>
    <row r="638" spans="1:15" ht="25.2" customHeight="1" x14ac:dyDescent="0.4">
      <c r="A638" s="649"/>
      <c r="B638" s="363" t="s">
        <v>63</v>
      </c>
      <c r="C638" s="364"/>
      <c r="D638" s="364"/>
      <c r="E638" s="360"/>
      <c r="F638" s="360">
        <f>O638*N638/9</f>
        <v>10897.394444444444</v>
      </c>
      <c r="G638" s="360"/>
      <c r="H638" s="360"/>
      <c r="I638" s="360"/>
      <c r="J638" s="360"/>
      <c r="K638" s="352" t="s">
        <v>64</v>
      </c>
      <c r="L638" s="365" t="s">
        <v>381</v>
      </c>
      <c r="N638" s="1">
        <v>55</v>
      </c>
      <c r="O638" s="43">
        <v>1783.21</v>
      </c>
    </row>
    <row r="639" spans="1:15" ht="25.2" customHeight="1" x14ac:dyDescent="0.4">
      <c r="A639" s="712" t="s">
        <v>17</v>
      </c>
      <c r="B639" s="713"/>
      <c r="C639" s="360">
        <f>SUM(C635:C638)</f>
        <v>0</v>
      </c>
      <c r="D639" s="360">
        <f>SUM(D635:D638)</f>
        <v>1000</v>
      </c>
      <c r="E639" s="360">
        <f>SUM(E635:E638)</f>
        <v>2880</v>
      </c>
      <c r="F639" s="360">
        <f>ROUNDDOWN(SUM(F635:F638),0)</f>
        <v>10897</v>
      </c>
      <c r="G639" s="360" t="e">
        <f>SUM(#REF!)</f>
        <v>#REF!</v>
      </c>
      <c r="H639" s="360" t="e">
        <f>SUM(#REF!)</f>
        <v>#REF!</v>
      </c>
      <c r="I639" s="360">
        <f>SUM(I635:I638)</f>
        <v>0</v>
      </c>
      <c r="J639" s="360">
        <f>SUM(J635:J638)</f>
        <v>14600</v>
      </c>
      <c r="K639" s="352" t="s">
        <v>85</v>
      </c>
      <c r="L639" s="365" t="s">
        <v>368</v>
      </c>
    </row>
    <row r="640" spans="1:15" ht="25.2" customHeight="1" x14ac:dyDescent="0.4">
      <c r="A640" s="684" t="s">
        <v>18</v>
      </c>
      <c r="B640" s="685"/>
      <c r="C640" s="674">
        <f>C639+D639+E639+F639+I639+J639</f>
        <v>29377</v>
      </c>
      <c r="D640" s="675"/>
      <c r="E640" s="675"/>
      <c r="F640" s="675"/>
      <c r="G640" s="675"/>
      <c r="H640" s="675"/>
      <c r="I640" s="675"/>
      <c r="J640" s="676"/>
      <c r="K640" s="362"/>
      <c r="L640" s="361"/>
    </row>
    <row r="642" spans="1:15" ht="25.2" customHeight="1" x14ac:dyDescent="0.4">
      <c r="A642" s="6" t="s">
        <v>0</v>
      </c>
      <c r="B642" s="6" t="s">
        <v>1</v>
      </c>
      <c r="C642" s="6" t="s">
        <v>4</v>
      </c>
      <c r="D642" s="6" t="s">
        <v>287</v>
      </c>
      <c r="E642" s="6" t="s">
        <v>74</v>
      </c>
      <c r="F642" s="6" t="s">
        <v>3</v>
      </c>
      <c r="G642" s="6" t="s">
        <v>4</v>
      </c>
      <c r="H642" s="6" t="s">
        <v>5</v>
      </c>
      <c r="I642" s="6" t="s">
        <v>6</v>
      </c>
      <c r="J642" s="6" t="s">
        <v>7</v>
      </c>
      <c r="K642" s="6" t="s">
        <v>60</v>
      </c>
      <c r="L642" s="6" t="s">
        <v>8</v>
      </c>
    </row>
    <row r="643" spans="1:15" ht="25.2" customHeight="1" x14ac:dyDescent="0.4">
      <c r="A643" s="660">
        <v>44960</v>
      </c>
      <c r="B643" s="363" t="s">
        <v>63</v>
      </c>
      <c r="C643" s="364"/>
      <c r="D643" s="364"/>
      <c r="E643" s="360">
        <f>1280+1800</f>
        <v>3080</v>
      </c>
      <c r="F643" s="360"/>
      <c r="G643" s="360"/>
      <c r="H643" s="360"/>
      <c r="I643" s="360"/>
      <c r="J643" s="360"/>
      <c r="K643" s="352" t="s">
        <v>61</v>
      </c>
      <c r="L643" s="365" t="s">
        <v>371</v>
      </c>
    </row>
    <row r="644" spans="1:15" ht="25.2" customHeight="1" x14ac:dyDescent="0.4">
      <c r="A644" s="660"/>
      <c r="B644" s="363" t="s">
        <v>63</v>
      </c>
      <c r="C644" s="360"/>
      <c r="D644" s="360"/>
      <c r="E644" s="360"/>
      <c r="F644" s="360"/>
      <c r="G644" s="360"/>
      <c r="H644" s="360"/>
      <c r="I644" s="360"/>
      <c r="J644" s="360">
        <v>8000</v>
      </c>
      <c r="K644" s="352" t="s">
        <v>62</v>
      </c>
      <c r="L644" s="365" t="s">
        <v>374</v>
      </c>
    </row>
    <row r="645" spans="1:15" ht="25.2" customHeight="1" x14ac:dyDescent="0.4">
      <c r="A645" s="660"/>
      <c r="B645" s="363"/>
      <c r="C645" s="360"/>
      <c r="D645" s="360">
        <v>1000</v>
      </c>
      <c r="E645" s="360"/>
      <c r="F645" s="360"/>
      <c r="G645" s="360"/>
      <c r="H645" s="360"/>
      <c r="I645" s="360"/>
      <c r="J645" s="360"/>
      <c r="K645" s="352" t="s">
        <v>62</v>
      </c>
      <c r="L645" s="365" t="s">
        <v>373</v>
      </c>
    </row>
    <row r="646" spans="1:15" ht="25.2" customHeight="1" x14ac:dyDescent="0.4">
      <c r="A646" s="660"/>
      <c r="B646" s="363" t="s">
        <v>63</v>
      </c>
      <c r="C646" s="364"/>
      <c r="D646" s="364"/>
      <c r="E646" s="360"/>
      <c r="F646" s="360">
        <f>O646*N646/9</f>
        <v>10238.37222222222</v>
      </c>
      <c r="G646" s="360"/>
      <c r="H646" s="360"/>
      <c r="I646" s="360"/>
      <c r="J646" s="360"/>
      <c r="K646" s="352" t="s">
        <v>64</v>
      </c>
      <c r="L646" s="365" t="s">
        <v>396</v>
      </c>
      <c r="N646" s="1">
        <v>55</v>
      </c>
      <c r="O646" s="366">
        <v>1675.37</v>
      </c>
    </row>
    <row r="647" spans="1:15" ht="25.2" customHeight="1" x14ac:dyDescent="0.4">
      <c r="A647" s="662" t="s">
        <v>17</v>
      </c>
      <c r="B647" s="662"/>
      <c r="C647" s="360">
        <f>SUM(C643:C646)</f>
        <v>0</v>
      </c>
      <c r="D647" s="360">
        <f>SUM(D643:D646)</f>
        <v>1000</v>
      </c>
      <c r="E647" s="360">
        <f>SUM(E643:E646)</f>
        <v>3080</v>
      </c>
      <c r="F647" s="360">
        <f>ROUNDDOWN(SUM(F643:F646),0)</f>
        <v>10238</v>
      </c>
      <c r="G647" s="360" t="e">
        <f>SUM(#REF!)</f>
        <v>#REF!</v>
      </c>
      <c r="H647" s="360" t="e">
        <f>SUM(#REF!)</f>
        <v>#REF!</v>
      </c>
      <c r="I647" s="360">
        <f>SUM(I643:I646)</f>
        <v>0</v>
      </c>
      <c r="J647" s="360">
        <f>SUM(J643:J646)</f>
        <v>8000</v>
      </c>
      <c r="K647" s="352" t="s">
        <v>85</v>
      </c>
      <c r="L647" s="365" t="s">
        <v>375</v>
      </c>
    </row>
    <row r="648" spans="1:15" ht="25.2" customHeight="1" x14ac:dyDescent="0.4">
      <c r="A648" s="659" t="s">
        <v>18</v>
      </c>
      <c r="B648" s="659"/>
      <c r="C648" s="657">
        <f>C647+D647+E647+F647+I647+J647</f>
        <v>22318</v>
      </c>
      <c r="D648" s="657"/>
      <c r="E648" s="657"/>
      <c r="F648" s="657"/>
      <c r="G648" s="657"/>
      <c r="H648" s="657"/>
      <c r="I648" s="657"/>
      <c r="J648" s="657"/>
      <c r="K648" s="362"/>
      <c r="L648" s="361"/>
    </row>
    <row r="650" spans="1:15" ht="25.2" customHeight="1" x14ac:dyDescent="0.4">
      <c r="A650" s="6" t="s">
        <v>0</v>
      </c>
      <c r="B650" s="6" t="s">
        <v>1</v>
      </c>
      <c r="C650" s="6" t="s">
        <v>4</v>
      </c>
      <c r="D650" s="6" t="s">
        <v>287</v>
      </c>
      <c r="E650" s="6" t="s">
        <v>74</v>
      </c>
      <c r="F650" s="6" t="s">
        <v>3</v>
      </c>
      <c r="G650" s="6" t="s">
        <v>4</v>
      </c>
      <c r="H650" s="6" t="s">
        <v>5</v>
      </c>
      <c r="I650" s="6" t="s">
        <v>6</v>
      </c>
      <c r="J650" s="6" t="s">
        <v>7</v>
      </c>
      <c r="K650" s="6" t="s">
        <v>60</v>
      </c>
      <c r="L650" s="6" t="s">
        <v>8</v>
      </c>
    </row>
    <row r="651" spans="1:15" ht="25.2" customHeight="1" x14ac:dyDescent="0.4">
      <c r="A651" s="660">
        <v>44964</v>
      </c>
      <c r="B651" s="363" t="s">
        <v>63</v>
      </c>
      <c r="C651" s="364"/>
      <c r="D651" s="364"/>
      <c r="E651" s="360">
        <f>1500+1800</f>
        <v>3300</v>
      </c>
      <c r="F651" s="360"/>
      <c r="G651" s="360"/>
      <c r="H651" s="360"/>
      <c r="I651" s="360"/>
      <c r="J651" s="360"/>
      <c r="K651" s="352" t="s">
        <v>61</v>
      </c>
      <c r="L651" s="365" t="s">
        <v>372</v>
      </c>
    </row>
    <row r="652" spans="1:15" ht="25.2" customHeight="1" x14ac:dyDescent="0.4">
      <c r="A652" s="660"/>
      <c r="B652" s="363" t="s">
        <v>63</v>
      </c>
      <c r="C652" s="364"/>
      <c r="D652" s="364"/>
      <c r="E652" s="360"/>
      <c r="F652" s="360">
        <f>O652*N652/9</f>
        <v>11169.133333333333</v>
      </c>
      <c r="G652" s="360"/>
      <c r="H652" s="360"/>
      <c r="I652" s="360"/>
      <c r="J652" s="360"/>
      <c r="K652" s="352" t="s">
        <v>64</v>
      </c>
      <c r="L652" s="365" t="s">
        <v>395</v>
      </c>
      <c r="N652" s="1">
        <v>60</v>
      </c>
      <c r="O652" s="366">
        <v>1675.37</v>
      </c>
    </row>
    <row r="653" spans="1:15" ht="25.2" customHeight="1" x14ac:dyDescent="0.4">
      <c r="A653" s="662" t="s">
        <v>17</v>
      </c>
      <c r="B653" s="662"/>
      <c r="C653" s="360">
        <f>SUM(C651:C652)</f>
        <v>0</v>
      </c>
      <c r="D653" s="360">
        <f>SUM(D651:D652)</f>
        <v>0</v>
      </c>
      <c r="E653" s="360">
        <f>SUM(E651:E652)</f>
        <v>3300</v>
      </c>
      <c r="F653" s="360">
        <f>ROUNDDOWN(SUM(F651:F652),0)</f>
        <v>11169</v>
      </c>
      <c r="G653" s="360" t="e">
        <f>SUM(#REF!)</f>
        <v>#REF!</v>
      </c>
      <c r="H653" s="360" t="e">
        <f>SUM(#REF!)</f>
        <v>#REF!</v>
      </c>
      <c r="I653" s="360">
        <f>SUM(I651:I652)</f>
        <v>0</v>
      </c>
      <c r="J653" s="360">
        <f>SUM(J651:J652)</f>
        <v>0</v>
      </c>
      <c r="K653" s="352" t="s">
        <v>85</v>
      </c>
      <c r="L653" s="365" t="s">
        <v>376</v>
      </c>
    </row>
    <row r="654" spans="1:15" ht="25.2" customHeight="1" x14ac:dyDescent="0.4">
      <c r="A654" s="659" t="s">
        <v>18</v>
      </c>
      <c r="B654" s="659"/>
      <c r="C654" s="657">
        <f>C653+D653+E653+F653+I653+J653</f>
        <v>14469</v>
      </c>
      <c r="D654" s="657"/>
      <c r="E654" s="657"/>
      <c r="F654" s="657"/>
      <c r="G654" s="657"/>
      <c r="H654" s="657"/>
      <c r="I654" s="657"/>
      <c r="J654" s="657"/>
      <c r="K654" s="362"/>
      <c r="L654" s="361"/>
    </row>
    <row r="655" spans="1:15" ht="25.2" customHeight="1" x14ac:dyDescent="0.4">
      <c r="N655" s="372"/>
    </row>
    <row r="657" spans="1:15" ht="25.2" customHeight="1" x14ac:dyDescent="0.4">
      <c r="A657" s="6" t="s">
        <v>0</v>
      </c>
      <c r="B657" s="6" t="s">
        <v>1</v>
      </c>
      <c r="C657" s="6" t="s">
        <v>4</v>
      </c>
      <c r="D657" s="6" t="s">
        <v>287</v>
      </c>
      <c r="E657" s="6" t="s">
        <v>74</v>
      </c>
      <c r="F657" s="6" t="s">
        <v>3</v>
      </c>
      <c r="G657" s="6" t="s">
        <v>4</v>
      </c>
      <c r="H657" s="6" t="s">
        <v>5</v>
      </c>
      <c r="I657" s="6" t="s">
        <v>401</v>
      </c>
      <c r="J657" s="6" t="s">
        <v>7</v>
      </c>
      <c r="K657" s="6" t="s">
        <v>60</v>
      </c>
      <c r="L657" s="6" t="s">
        <v>8</v>
      </c>
    </row>
    <row r="658" spans="1:15" ht="25.2" customHeight="1" x14ac:dyDescent="0.4">
      <c r="A658" s="663">
        <v>44972</v>
      </c>
      <c r="B658" s="373" t="s">
        <v>390</v>
      </c>
      <c r="C658" s="374"/>
      <c r="D658" s="374"/>
      <c r="E658" s="375">
        <v>8900</v>
      </c>
      <c r="F658" s="375"/>
      <c r="G658" s="375"/>
      <c r="H658" s="375"/>
      <c r="I658" s="375"/>
      <c r="J658" s="375"/>
      <c r="K658" s="376" t="s">
        <v>61</v>
      </c>
      <c r="L658" s="377" t="s">
        <v>384</v>
      </c>
    </row>
    <row r="659" spans="1:15" ht="25.2" customHeight="1" x14ac:dyDescent="0.4">
      <c r="A659" s="664"/>
      <c r="B659" s="373" t="s">
        <v>391</v>
      </c>
      <c r="C659" s="374"/>
      <c r="D659" s="374"/>
      <c r="E659" s="375">
        <v>7600</v>
      </c>
      <c r="F659" s="375"/>
      <c r="G659" s="375"/>
      <c r="H659" s="375"/>
      <c r="I659" s="375"/>
      <c r="J659" s="375"/>
      <c r="K659" s="376" t="s">
        <v>61</v>
      </c>
      <c r="L659" s="377" t="s">
        <v>385</v>
      </c>
    </row>
    <row r="660" spans="1:15" ht="25.2" customHeight="1" x14ac:dyDescent="0.4">
      <c r="A660" s="664"/>
      <c r="B660" s="373" t="s">
        <v>392</v>
      </c>
      <c r="C660" s="374">
        <v>90000</v>
      </c>
      <c r="D660" s="374"/>
      <c r="E660" s="375"/>
      <c r="F660" s="375"/>
      <c r="G660" s="375"/>
      <c r="H660" s="375"/>
      <c r="I660" s="375"/>
      <c r="J660" s="375"/>
      <c r="K660" s="376" t="s">
        <v>397</v>
      </c>
      <c r="L660" s="377" t="s">
        <v>399</v>
      </c>
    </row>
    <row r="661" spans="1:15" ht="25.2" customHeight="1" x14ac:dyDescent="0.4">
      <c r="A661" s="665"/>
      <c r="B661" s="373" t="s">
        <v>392</v>
      </c>
      <c r="C661" s="374"/>
      <c r="D661" s="374"/>
      <c r="E661" s="375"/>
      <c r="F661" s="375"/>
      <c r="G661" s="375"/>
      <c r="H661" s="375"/>
      <c r="I661" s="375"/>
      <c r="J661" s="375">
        <v>20000</v>
      </c>
      <c r="K661" s="376" t="s">
        <v>398</v>
      </c>
      <c r="L661" s="377" t="s">
        <v>400</v>
      </c>
    </row>
    <row r="662" spans="1:15" ht="25.2" customHeight="1" x14ac:dyDescent="0.4">
      <c r="A662" s="663">
        <v>44973</v>
      </c>
      <c r="B662" s="373" t="s">
        <v>391</v>
      </c>
      <c r="C662" s="374"/>
      <c r="D662" s="374"/>
      <c r="E662" s="375">
        <v>3500</v>
      </c>
      <c r="F662" s="375"/>
      <c r="G662" s="375"/>
      <c r="H662" s="375"/>
      <c r="I662" s="375"/>
      <c r="J662" s="375"/>
      <c r="K662" s="376" t="s">
        <v>61</v>
      </c>
      <c r="L662" s="377" t="s">
        <v>388</v>
      </c>
    </row>
    <row r="663" spans="1:15" ht="25.2" customHeight="1" x14ac:dyDescent="0.4">
      <c r="A663" s="664"/>
      <c r="B663" s="373" t="s">
        <v>392</v>
      </c>
      <c r="C663" s="374"/>
      <c r="D663" s="374"/>
      <c r="E663" s="375"/>
      <c r="F663" s="375"/>
      <c r="G663" s="375"/>
      <c r="H663" s="375"/>
      <c r="I663" s="375">
        <v>180000</v>
      </c>
      <c r="J663" s="375"/>
      <c r="K663" s="376" t="s">
        <v>404</v>
      </c>
      <c r="L663" s="377" t="s">
        <v>402</v>
      </c>
    </row>
    <row r="664" spans="1:15" ht="25.2" customHeight="1" x14ac:dyDescent="0.4">
      <c r="A664" s="664"/>
      <c r="B664" s="373" t="s">
        <v>392</v>
      </c>
      <c r="C664" s="374"/>
      <c r="D664" s="374"/>
      <c r="E664" s="375"/>
      <c r="F664" s="375"/>
      <c r="G664" s="375"/>
      <c r="H664" s="375"/>
      <c r="I664" s="375">
        <v>180000</v>
      </c>
      <c r="J664" s="375"/>
      <c r="K664" s="376" t="s">
        <v>404</v>
      </c>
      <c r="L664" s="377" t="s">
        <v>403</v>
      </c>
    </row>
    <row r="665" spans="1:15" ht="25.2" customHeight="1" x14ac:dyDescent="0.4">
      <c r="A665" s="664"/>
      <c r="B665" s="373" t="s">
        <v>392</v>
      </c>
      <c r="C665" s="374"/>
      <c r="D665" s="374"/>
      <c r="E665" s="375"/>
      <c r="F665" s="375"/>
      <c r="G665" s="375"/>
      <c r="H665" s="375"/>
      <c r="I665" s="375"/>
      <c r="J665" s="375">
        <v>18000</v>
      </c>
      <c r="K665" s="376" t="s">
        <v>405</v>
      </c>
      <c r="L665" s="377" t="s">
        <v>406</v>
      </c>
    </row>
    <row r="666" spans="1:15" ht="25.2" customHeight="1" x14ac:dyDescent="0.4">
      <c r="A666" s="665"/>
      <c r="B666" s="373" t="s">
        <v>392</v>
      </c>
      <c r="C666" s="374">
        <v>110000</v>
      </c>
      <c r="D666" s="374"/>
      <c r="E666" s="375"/>
      <c r="F666" s="375"/>
      <c r="G666" s="375"/>
      <c r="H666" s="375"/>
      <c r="I666" s="375"/>
      <c r="J666" s="375"/>
      <c r="K666" s="376" t="s">
        <v>407</v>
      </c>
      <c r="L666" s="377" t="s">
        <v>399</v>
      </c>
      <c r="O666" s="366"/>
    </row>
    <row r="667" spans="1:15" ht="25.2" customHeight="1" x14ac:dyDescent="0.4">
      <c r="A667" s="663">
        <v>44974</v>
      </c>
      <c r="B667" s="373" t="s">
        <v>391</v>
      </c>
      <c r="C667" s="374"/>
      <c r="D667" s="374"/>
      <c r="E667" s="375">
        <v>14900</v>
      </c>
      <c r="F667" s="375"/>
      <c r="G667" s="375"/>
      <c r="H667" s="375"/>
      <c r="I667" s="375"/>
      <c r="J667" s="375"/>
      <c r="K667" s="376" t="s">
        <v>61</v>
      </c>
      <c r="L667" s="377" t="s">
        <v>387</v>
      </c>
    </row>
    <row r="668" spans="1:15" ht="25.2" customHeight="1" x14ac:dyDescent="0.4">
      <c r="A668" s="664"/>
      <c r="B668" s="373" t="s">
        <v>391</v>
      </c>
      <c r="C668" s="374"/>
      <c r="D668" s="374"/>
      <c r="E668" s="375">
        <v>3900</v>
      </c>
      <c r="F668" s="375"/>
      <c r="G668" s="375"/>
      <c r="H668" s="375"/>
      <c r="I668" s="375"/>
      <c r="J668" s="375"/>
      <c r="K668" s="376" t="s">
        <v>61</v>
      </c>
      <c r="L668" s="377" t="s">
        <v>386</v>
      </c>
    </row>
    <row r="669" spans="1:15" ht="25.2" customHeight="1" x14ac:dyDescent="0.4">
      <c r="A669" s="664"/>
      <c r="B669" s="373" t="s">
        <v>390</v>
      </c>
      <c r="C669" s="374"/>
      <c r="D669" s="374"/>
      <c r="E669" s="375"/>
      <c r="F669" s="375">
        <f>O669*N669/9</f>
        <v>145198.73333333331</v>
      </c>
      <c r="G669" s="375"/>
      <c r="H669" s="375"/>
      <c r="I669" s="375"/>
      <c r="J669" s="375"/>
      <c r="K669" s="376" t="s">
        <v>389</v>
      </c>
      <c r="L669" s="377" t="s">
        <v>394</v>
      </c>
      <c r="N669" s="1">
        <v>780</v>
      </c>
      <c r="O669" s="366">
        <v>1675.37</v>
      </c>
    </row>
    <row r="670" spans="1:15" ht="25.2" customHeight="1" x14ac:dyDescent="0.4">
      <c r="A670" s="664"/>
      <c r="B670" s="373" t="s">
        <v>392</v>
      </c>
      <c r="C670" s="374"/>
      <c r="D670" s="374"/>
      <c r="E670" s="375"/>
      <c r="F670" s="375"/>
      <c r="G670" s="375"/>
      <c r="H670" s="375"/>
      <c r="I670" s="375"/>
      <c r="J670" s="375">
        <v>16400</v>
      </c>
      <c r="K670" s="376" t="s">
        <v>408</v>
      </c>
      <c r="L670" s="377" t="s">
        <v>409</v>
      </c>
    </row>
    <row r="671" spans="1:15" ht="25.2" customHeight="1" x14ac:dyDescent="0.4">
      <c r="A671" s="664"/>
      <c r="B671" s="373" t="s">
        <v>392</v>
      </c>
      <c r="C671" s="374"/>
      <c r="D671" s="374"/>
      <c r="E671" s="375"/>
      <c r="F671" s="375"/>
      <c r="G671" s="375"/>
      <c r="H671" s="375"/>
      <c r="I671" s="375"/>
      <c r="J671" s="375">
        <v>19000</v>
      </c>
      <c r="K671" s="376" t="s">
        <v>410</v>
      </c>
      <c r="L671" s="377" t="s">
        <v>406</v>
      </c>
    </row>
    <row r="672" spans="1:15" ht="25.2" customHeight="1" x14ac:dyDescent="0.4">
      <c r="A672" s="714" t="s">
        <v>17</v>
      </c>
      <c r="B672" s="714"/>
      <c r="C672" s="375">
        <f>SUM(C658:C671)</f>
        <v>200000</v>
      </c>
      <c r="D672" s="375">
        <f>SUM(D658:D671)</f>
        <v>0</v>
      </c>
      <c r="E672" s="375">
        <f>SUM(E658:E671)</f>
        <v>38800</v>
      </c>
      <c r="F672" s="375">
        <f>ROUNDDOWN(SUM(F658:F671),0)</f>
        <v>145198</v>
      </c>
      <c r="G672" s="375" t="e">
        <f>SUM(#REF!)</f>
        <v>#REF!</v>
      </c>
      <c r="H672" s="375" t="e">
        <f>SUM(#REF!)</f>
        <v>#REF!</v>
      </c>
      <c r="I672" s="375">
        <f>SUM(I658:I671)</f>
        <v>360000</v>
      </c>
      <c r="J672" s="375">
        <f>SUM(J658:J671)</f>
        <v>73400</v>
      </c>
      <c r="K672" s="376" t="s">
        <v>383</v>
      </c>
      <c r="L672" s="377" t="s">
        <v>393</v>
      </c>
    </row>
    <row r="673" spans="1:15" ht="25.2" customHeight="1" x14ac:dyDescent="0.4">
      <c r="A673" s="659" t="s">
        <v>18</v>
      </c>
      <c r="B673" s="659"/>
      <c r="C673" s="657">
        <f>C672+D672+E672+F672+I672+J672</f>
        <v>817398</v>
      </c>
      <c r="D673" s="657"/>
      <c r="E673" s="657"/>
      <c r="F673" s="657"/>
      <c r="G673" s="657"/>
      <c r="H673" s="657"/>
      <c r="I673" s="657"/>
      <c r="J673" s="657"/>
      <c r="K673" s="368"/>
      <c r="L673" s="367"/>
    </row>
    <row r="675" spans="1:15" ht="25.2" customHeight="1" x14ac:dyDescent="0.4">
      <c r="J675" s="372"/>
    </row>
    <row r="676" spans="1:15" ht="25.2" customHeight="1" x14ac:dyDescent="0.4">
      <c r="A676" s="6" t="s">
        <v>0</v>
      </c>
      <c r="B676" s="6" t="s">
        <v>1</v>
      </c>
      <c r="C676" s="6" t="s">
        <v>4</v>
      </c>
      <c r="D676" s="6" t="s">
        <v>287</v>
      </c>
      <c r="E676" s="6" t="s">
        <v>74</v>
      </c>
      <c r="F676" s="6" t="s">
        <v>3</v>
      </c>
      <c r="G676" s="6" t="s">
        <v>4</v>
      </c>
      <c r="H676" s="6" t="s">
        <v>5</v>
      </c>
      <c r="I676" s="6" t="s">
        <v>401</v>
      </c>
      <c r="J676" s="6" t="s">
        <v>7</v>
      </c>
      <c r="K676" s="6" t="s">
        <v>60</v>
      </c>
      <c r="L676" s="6" t="s">
        <v>8</v>
      </c>
    </row>
    <row r="677" spans="1:15" ht="25.2" customHeight="1" x14ac:dyDescent="0.4">
      <c r="A677" s="648">
        <v>44972</v>
      </c>
      <c r="B677" s="371" t="s">
        <v>390</v>
      </c>
      <c r="C677" s="364"/>
      <c r="D677" s="364"/>
      <c r="E677" s="360">
        <v>8900</v>
      </c>
      <c r="F677" s="360"/>
      <c r="G677" s="360"/>
      <c r="H677" s="360"/>
      <c r="I677" s="360"/>
      <c r="J677" s="360"/>
      <c r="K677" s="352" t="s">
        <v>61</v>
      </c>
      <c r="L677" s="370" t="s">
        <v>384</v>
      </c>
    </row>
    <row r="678" spans="1:15" ht="25.2" customHeight="1" x14ac:dyDescent="0.4">
      <c r="A678" s="661"/>
      <c r="B678" s="371" t="s">
        <v>391</v>
      </c>
      <c r="C678" s="364"/>
      <c r="D678" s="364"/>
      <c r="E678" s="360">
        <v>7600</v>
      </c>
      <c r="F678" s="360"/>
      <c r="G678" s="360"/>
      <c r="H678" s="360"/>
      <c r="I678" s="360"/>
      <c r="J678" s="360"/>
      <c r="K678" s="352" t="s">
        <v>61</v>
      </c>
      <c r="L678" s="370" t="s">
        <v>385</v>
      </c>
    </row>
    <row r="679" spans="1:15" ht="25.2" customHeight="1" x14ac:dyDescent="0.4">
      <c r="A679" s="369">
        <v>44973</v>
      </c>
      <c r="B679" s="371" t="s">
        <v>391</v>
      </c>
      <c r="C679" s="364"/>
      <c r="D679" s="364"/>
      <c r="E679" s="360">
        <v>3500</v>
      </c>
      <c r="F679" s="360"/>
      <c r="G679" s="360"/>
      <c r="H679" s="360"/>
      <c r="I679" s="360"/>
      <c r="J679" s="360"/>
      <c r="K679" s="352" t="s">
        <v>61</v>
      </c>
      <c r="L679" s="370" t="s">
        <v>388</v>
      </c>
    </row>
    <row r="680" spans="1:15" ht="25.2" customHeight="1" x14ac:dyDescent="0.4">
      <c r="A680" s="648">
        <v>44974</v>
      </c>
      <c r="B680" s="371" t="s">
        <v>391</v>
      </c>
      <c r="C680" s="364"/>
      <c r="D680" s="364"/>
      <c r="E680" s="360">
        <v>14900</v>
      </c>
      <c r="F680" s="360"/>
      <c r="G680" s="360"/>
      <c r="H680" s="360"/>
      <c r="I680" s="360"/>
      <c r="J680" s="360"/>
      <c r="K680" s="352" t="s">
        <v>61</v>
      </c>
      <c r="L680" s="370" t="s">
        <v>387</v>
      </c>
    </row>
    <row r="681" spans="1:15" ht="25.2" customHeight="1" x14ac:dyDescent="0.4">
      <c r="A681" s="661"/>
      <c r="B681" s="371" t="s">
        <v>391</v>
      </c>
      <c r="C681" s="364"/>
      <c r="D681" s="364"/>
      <c r="E681" s="360">
        <v>3900</v>
      </c>
      <c r="F681" s="360"/>
      <c r="G681" s="360"/>
      <c r="H681" s="360"/>
      <c r="I681" s="360"/>
      <c r="J681" s="360"/>
      <c r="K681" s="352" t="s">
        <v>61</v>
      </c>
      <c r="L681" s="370" t="s">
        <v>386</v>
      </c>
    </row>
    <row r="682" spans="1:15" ht="25.2" customHeight="1" x14ac:dyDescent="0.4">
      <c r="A682" s="661"/>
      <c r="B682" s="371" t="s">
        <v>390</v>
      </c>
      <c r="C682" s="364"/>
      <c r="D682" s="364"/>
      <c r="E682" s="360"/>
      <c r="F682" s="382">
        <f>O682*N682/9</f>
        <v>145198.73333333331</v>
      </c>
      <c r="G682" s="360"/>
      <c r="H682" s="360"/>
      <c r="I682" s="360"/>
      <c r="J682" s="360"/>
      <c r="K682" s="352" t="s">
        <v>389</v>
      </c>
      <c r="L682" s="370" t="s">
        <v>411</v>
      </c>
      <c r="N682" s="1">
        <v>780</v>
      </c>
      <c r="O682" s="366">
        <v>1675.37</v>
      </c>
    </row>
    <row r="683" spans="1:15" ht="25.2" customHeight="1" x14ac:dyDescent="0.4">
      <c r="A683" s="662" t="s">
        <v>17</v>
      </c>
      <c r="B683" s="662"/>
      <c r="C683" s="360">
        <f>SUM(C677:C682)</f>
        <v>0</v>
      </c>
      <c r="D683" s="360">
        <f>SUM(D677:D682)</f>
        <v>0</v>
      </c>
      <c r="E683" s="360">
        <f>SUM(E677:E682)</f>
        <v>38800</v>
      </c>
      <c r="F683" s="360">
        <f>ROUNDDOWN(SUM(F677:F682),0)</f>
        <v>145198</v>
      </c>
      <c r="G683" s="360" t="e">
        <f>SUM(#REF!)</f>
        <v>#REF!</v>
      </c>
      <c r="H683" s="360" t="e">
        <f>SUM(#REF!)</f>
        <v>#REF!</v>
      </c>
      <c r="I683" s="360">
        <f>SUM(I677:I682)</f>
        <v>0</v>
      </c>
      <c r="J683" s="360">
        <f>SUM(J677:J682)</f>
        <v>0</v>
      </c>
      <c r="K683" s="352" t="s">
        <v>383</v>
      </c>
      <c r="L683" s="370" t="s">
        <v>393</v>
      </c>
    </row>
    <row r="684" spans="1:15" ht="25.2" customHeight="1" x14ac:dyDescent="0.4">
      <c r="A684" s="659" t="s">
        <v>18</v>
      </c>
      <c r="B684" s="659"/>
      <c r="C684" s="657">
        <f>C683+D683+E683+F683+I683+J683</f>
        <v>183998</v>
      </c>
      <c r="D684" s="657"/>
      <c r="E684" s="657"/>
      <c r="F684" s="657"/>
      <c r="G684" s="657"/>
      <c r="H684" s="657"/>
      <c r="I684" s="657"/>
      <c r="J684" s="657"/>
      <c r="K684" s="368"/>
      <c r="L684" s="367"/>
    </row>
    <row r="686" spans="1:15" ht="25.2" customHeight="1" x14ac:dyDescent="0.4">
      <c r="I686" s="372">
        <f>E683</f>
        <v>38800</v>
      </c>
    </row>
    <row r="687" spans="1:15" ht="25.2" customHeight="1" x14ac:dyDescent="0.4">
      <c r="I687" s="372">
        <f>F683</f>
        <v>145198</v>
      </c>
    </row>
    <row r="688" spans="1:15" ht="25.2" customHeight="1" x14ac:dyDescent="0.4">
      <c r="I688" s="372">
        <f>I686+I687</f>
        <v>183998</v>
      </c>
      <c r="J688" s="1">
        <v>184998</v>
      </c>
      <c r="K688" s="372">
        <f>I688-J688</f>
        <v>-1000</v>
      </c>
    </row>
    <row r="690" spans="1:15" ht="25.2" customHeight="1" x14ac:dyDescent="0.4">
      <c r="A690" s="6" t="s">
        <v>0</v>
      </c>
      <c r="B690" s="6" t="s">
        <v>1</v>
      </c>
      <c r="C690" s="6" t="s">
        <v>4</v>
      </c>
      <c r="D690" s="6" t="s">
        <v>287</v>
      </c>
      <c r="E690" s="6" t="s">
        <v>74</v>
      </c>
      <c r="F690" s="6" t="s">
        <v>3</v>
      </c>
      <c r="G690" s="6" t="s">
        <v>4</v>
      </c>
      <c r="H690" s="6" t="s">
        <v>5</v>
      </c>
      <c r="I690" s="6" t="s">
        <v>401</v>
      </c>
      <c r="J690" s="6" t="s">
        <v>7</v>
      </c>
      <c r="K690" s="6" t="s">
        <v>60</v>
      </c>
      <c r="L690" s="6" t="s">
        <v>8</v>
      </c>
    </row>
    <row r="691" spans="1:15" ht="25.2" customHeight="1" x14ac:dyDescent="0.4">
      <c r="A691" s="648">
        <v>45001</v>
      </c>
      <c r="B691" s="378" t="s">
        <v>390</v>
      </c>
      <c r="C691" s="364"/>
      <c r="D691" s="364"/>
      <c r="E691" s="360">
        <v>1800</v>
      </c>
      <c r="F691" s="360"/>
      <c r="G691" s="360"/>
      <c r="H691" s="360"/>
      <c r="I691" s="360"/>
      <c r="J691" s="360"/>
      <c r="K691" s="352" t="s">
        <v>61</v>
      </c>
      <c r="L691" s="380" t="s">
        <v>412</v>
      </c>
    </row>
    <row r="692" spans="1:15" ht="25.2" customHeight="1" x14ac:dyDescent="0.4">
      <c r="A692" s="661"/>
      <c r="B692" s="378" t="s">
        <v>391</v>
      </c>
      <c r="C692" s="364"/>
      <c r="D692" s="364"/>
      <c r="E692" s="360">
        <v>1600</v>
      </c>
      <c r="F692" s="360"/>
      <c r="G692" s="360"/>
      <c r="H692" s="360"/>
      <c r="I692" s="360"/>
      <c r="J692" s="360"/>
      <c r="K692" s="352" t="s">
        <v>61</v>
      </c>
      <c r="L692" s="380" t="s">
        <v>413</v>
      </c>
    </row>
    <row r="693" spans="1:15" ht="25.2" customHeight="1" x14ac:dyDescent="0.4">
      <c r="A693" s="661"/>
      <c r="B693" s="378" t="s">
        <v>391</v>
      </c>
      <c r="C693" s="364"/>
      <c r="D693" s="364"/>
      <c r="E693" s="360">
        <v>1000</v>
      </c>
      <c r="F693" s="360"/>
      <c r="G693" s="360"/>
      <c r="H693" s="360"/>
      <c r="I693" s="360"/>
      <c r="J693" s="360"/>
      <c r="K693" s="352" t="s">
        <v>419</v>
      </c>
      <c r="L693" s="380" t="s">
        <v>418</v>
      </c>
    </row>
    <row r="694" spans="1:15" ht="25.2" customHeight="1" x14ac:dyDescent="0.4">
      <c r="A694" s="649"/>
      <c r="B694" s="378" t="s">
        <v>391</v>
      </c>
      <c r="C694" s="364"/>
      <c r="D694" s="364"/>
      <c r="E694" s="360"/>
      <c r="F694" s="382">
        <f>O694*N694/9</f>
        <v>9816.9500000000007</v>
      </c>
      <c r="G694" s="360"/>
      <c r="H694" s="360"/>
      <c r="I694" s="360"/>
      <c r="J694" s="360"/>
      <c r="K694" s="352"/>
      <c r="L694" s="380" t="s">
        <v>411</v>
      </c>
      <c r="N694" s="1">
        <v>55</v>
      </c>
      <c r="O694" s="366">
        <v>1606.41</v>
      </c>
    </row>
    <row r="695" spans="1:15" ht="25.2" customHeight="1" x14ac:dyDescent="0.4">
      <c r="A695" s="648">
        <v>45008</v>
      </c>
      <c r="B695" s="378" t="s">
        <v>391</v>
      </c>
      <c r="C695" s="364"/>
      <c r="D695" s="364"/>
      <c r="E695" s="360">
        <v>1800</v>
      </c>
      <c r="F695" s="360"/>
      <c r="G695" s="360"/>
      <c r="H695" s="360"/>
      <c r="I695" s="360"/>
      <c r="J695" s="360"/>
      <c r="K695" s="352" t="s">
        <v>61</v>
      </c>
      <c r="L695" s="380" t="s">
        <v>412</v>
      </c>
    </row>
    <row r="696" spans="1:15" ht="25.2" customHeight="1" x14ac:dyDescent="0.4">
      <c r="A696" s="661"/>
      <c r="B696" s="378" t="s">
        <v>391</v>
      </c>
      <c r="C696" s="364"/>
      <c r="D696" s="364"/>
      <c r="E696" s="360">
        <v>1600</v>
      </c>
      <c r="F696" s="360"/>
      <c r="G696" s="360"/>
      <c r="H696" s="360"/>
      <c r="I696" s="360"/>
      <c r="J696" s="360"/>
      <c r="K696" s="352" t="s">
        <v>61</v>
      </c>
      <c r="L696" s="380" t="s">
        <v>413</v>
      </c>
    </row>
    <row r="697" spans="1:15" ht="25.2" customHeight="1" x14ac:dyDescent="0.4">
      <c r="A697" s="661"/>
      <c r="B697" s="378" t="s">
        <v>391</v>
      </c>
      <c r="C697" s="364"/>
      <c r="D697" s="364"/>
      <c r="E697" s="360">
        <v>7600</v>
      </c>
      <c r="F697" s="360"/>
      <c r="G697" s="360"/>
      <c r="H697" s="360"/>
      <c r="I697" s="360"/>
      <c r="J697" s="360"/>
      <c r="K697" s="352" t="s">
        <v>64</v>
      </c>
      <c r="L697" s="380" t="s">
        <v>418</v>
      </c>
    </row>
    <row r="698" spans="1:15" ht="25.2" customHeight="1" x14ac:dyDescent="0.4">
      <c r="A698" s="649"/>
      <c r="B698" s="378" t="s">
        <v>391</v>
      </c>
      <c r="C698" s="364"/>
      <c r="D698" s="364"/>
      <c r="E698" s="360"/>
      <c r="F698" s="382">
        <f>O698*N698/9</f>
        <v>9816.9500000000007</v>
      </c>
      <c r="G698" s="360"/>
      <c r="H698" s="360"/>
      <c r="I698" s="360"/>
      <c r="J698" s="360"/>
      <c r="K698" s="352"/>
      <c r="L698" s="380" t="s">
        <v>415</v>
      </c>
      <c r="N698" s="1">
        <v>55</v>
      </c>
      <c r="O698" s="366">
        <v>1606.41</v>
      </c>
    </row>
    <row r="699" spans="1:15" ht="25.2" customHeight="1" x14ac:dyDescent="0.4">
      <c r="A699" s="648">
        <v>45015</v>
      </c>
      <c r="B699" s="378" t="s">
        <v>391</v>
      </c>
      <c r="C699" s="364"/>
      <c r="D699" s="364"/>
      <c r="E699" s="360">
        <v>1800</v>
      </c>
      <c r="F699" s="360"/>
      <c r="G699" s="360"/>
      <c r="H699" s="360"/>
      <c r="I699" s="360"/>
      <c r="J699" s="360"/>
      <c r="K699" s="352" t="s">
        <v>61</v>
      </c>
      <c r="L699" s="380" t="s">
        <v>412</v>
      </c>
    </row>
    <row r="700" spans="1:15" ht="25.2" customHeight="1" x14ac:dyDescent="0.4">
      <c r="A700" s="661"/>
      <c r="B700" s="378" t="s">
        <v>391</v>
      </c>
      <c r="C700" s="364"/>
      <c r="D700" s="364"/>
      <c r="E700" s="360">
        <v>1600</v>
      </c>
      <c r="F700" s="360"/>
      <c r="G700" s="360"/>
      <c r="H700" s="360"/>
      <c r="I700" s="360"/>
      <c r="J700" s="360"/>
      <c r="K700" s="352" t="s">
        <v>61</v>
      </c>
      <c r="L700" s="380" t="s">
        <v>413</v>
      </c>
    </row>
    <row r="701" spans="1:15" ht="25.2" customHeight="1" x14ac:dyDescent="0.4">
      <c r="A701" s="661"/>
      <c r="B701" s="378" t="s">
        <v>391</v>
      </c>
      <c r="C701" s="364"/>
      <c r="D701" s="364"/>
      <c r="E701" s="360">
        <v>8100</v>
      </c>
      <c r="F701" s="360"/>
      <c r="G701" s="360"/>
      <c r="H701" s="360"/>
      <c r="I701" s="360"/>
      <c r="J701" s="360"/>
      <c r="K701" s="352" t="s">
        <v>420</v>
      </c>
      <c r="L701" s="380" t="s">
        <v>418</v>
      </c>
    </row>
    <row r="702" spans="1:15" ht="25.2" customHeight="1" x14ac:dyDescent="0.4">
      <c r="A702" s="649"/>
      <c r="B702" s="378" t="s">
        <v>391</v>
      </c>
      <c r="C702" s="364"/>
      <c r="D702" s="364"/>
      <c r="E702" s="360"/>
      <c r="F702" s="382">
        <f>O702*N702/9</f>
        <v>9816.9500000000007</v>
      </c>
      <c r="G702" s="360"/>
      <c r="H702" s="360"/>
      <c r="I702" s="360"/>
      <c r="J702" s="360"/>
      <c r="K702" s="352"/>
      <c r="L702" s="380" t="s">
        <v>414</v>
      </c>
      <c r="N702" s="1">
        <v>55</v>
      </c>
      <c r="O702" s="366">
        <v>1606.41</v>
      </c>
    </row>
    <row r="703" spans="1:15" ht="25.2" customHeight="1" x14ac:dyDescent="0.4">
      <c r="A703" s="648">
        <v>45016</v>
      </c>
      <c r="B703" s="378" t="s">
        <v>391</v>
      </c>
      <c r="C703" s="364"/>
      <c r="D703" s="364"/>
      <c r="E703" s="360">
        <v>1800</v>
      </c>
      <c r="F703" s="360"/>
      <c r="G703" s="360"/>
      <c r="H703" s="360"/>
      <c r="I703" s="360"/>
      <c r="J703" s="360"/>
      <c r="K703" s="352" t="s">
        <v>61</v>
      </c>
      <c r="L703" s="380" t="s">
        <v>412</v>
      </c>
    </row>
    <row r="704" spans="1:15" ht="25.2" customHeight="1" x14ac:dyDescent="0.4">
      <c r="A704" s="661"/>
      <c r="B704" s="378" t="s">
        <v>391</v>
      </c>
      <c r="C704" s="364"/>
      <c r="D704" s="364"/>
      <c r="E704" s="360">
        <v>1600</v>
      </c>
      <c r="F704" s="360"/>
      <c r="G704" s="360"/>
      <c r="H704" s="360"/>
      <c r="I704" s="360"/>
      <c r="J704" s="360"/>
      <c r="K704" s="352" t="s">
        <v>61</v>
      </c>
      <c r="L704" s="380" t="s">
        <v>413</v>
      </c>
    </row>
    <row r="705" spans="1:15" ht="25.2" customHeight="1" x14ac:dyDescent="0.4">
      <c r="A705" s="661"/>
      <c r="B705" s="378" t="s">
        <v>391</v>
      </c>
      <c r="C705" s="364"/>
      <c r="D705" s="364"/>
      <c r="E705" s="360">
        <v>7100</v>
      </c>
      <c r="F705" s="360"/>
      <c r="G705" s="360"/>
      <c r="H705" s="360"/>
      <c r="I705" s="360"/>
      <c r="J705" s="360"/>
      <c r="K705" s="352" t="s">
        <v>66</v>
      </c>
      <c r="L705" s="380" t="s">
        <v>418</v>
      </c>
    </row>
    <row r="706" spans="1:15" ht="25.2" customHeight="1" x14ac:dyDescent="0.4">
      <c r="A706" s="649"/>
      <c r="B706" s="378" t="s">
        <v>391</v>
      </c>
      <c r="C706" s="364"/>
      <c r="D706" s="364"/>
      <c r="E706" s="360"/>
      <c r="F706" s="382">
        <f>O706*N706/9</f>
        <v>9816.9500000000007</v>
      </c>
      <c r="G706" s="360"/>
      <c r="H706" s="360"/>
      <c r="I706" s="360"/>
      <c r="J706" s="360"/>
      <c r="K706" s="352"/>
      <c r="L706" s="380" t="s">
        <v>415</v>
      </c>
      <c r="N706" s="1">
        <v>55</v>
      </c>
      <c r="O706" s="366">
        <v>1606.41</v>
      </c>
    </row>
    <row r="707" spans="1:15" ht="25.2" customHeight="1" x14ac:dyDescent="0.4">
      <c r="A707" s="662" t="s">
        <v>17</v>
      </c>
      <c r="B707" s="662"/>
      <c r="C707" s="360">
        <f>SUM(C691:C706)</f>
        <v>0</v>
      </c>
      <c r="D707" s="360">
        <f>SUM(D691:D706)</f>
        <v>0</v>
      </c>
      <c r="E707" s="360">
        <f>SUM(E691:E706)</f>
        <v>37400</v>
      </c>
      <c r="F707" s="360">
        <f>ROUNDDOWN(SUM(F691:F706),0)</f>
        <v>39267</v>
      </c>
      <c r="G707" s="360" t="e">
        <f>SUM(#REF!)</f>
        <v>#REF!</v>
      </c>
      <c r="H707" s="360" t="e">
        <f>SUM(#REF!)</f>
        <v>#REF!</v>
      </c>
      <c r="I707" s="360">
        <f>SUM(I691:I706)</f>
        <v>0</v>
      </c>
      <c r="J707" s="360">
        <f>SUM(J691:J706)</f>
        <v>0</v>
      </c>
      <c r="K707" s="352" t="s">
        <v>383</v>
      </c>
      <c r="L707" s="380" t="s">
        <v>393</v>
      </c>
    </row>
    <row r="708" spans="1:15" ht="25.2" customHeight="1" x14ac:dyDescent="0.4">
      <c r="A708" s="659" t="s">
        <v>18</v>
      </c>
      <c r="B708" s="659"/>
      <c r="C708" s="657">
        <f>C707+D707+E707+F707+I707+J707</f>
        <v>76667</v>
      </c>
      <c r="D708" s="657"/>
      <c r="E708" s="657"/>
      <c r="F708" s="657"/>
      <c r="G708" s="657"/>
      <c r="H708" s="657"/>
      <c r="I708" s="657"/>
      <c r="J708" s="657"/>
      <c r="K708" s="381"/>
      <c r="L708" s="379"/>
    </row>
    <row r="711" spans="1:15" ht="25.2" customHeight="1" x14ac:dyDescent="0.4">
      <c r="A711" s="6" t="s">
        <v>0</v>
      </c>
      <c r="B711" s="6" t="s">
        <v>1</v>
      </c>
      <c r="C711" s="6" t="s">
        <v>4</v>
      </c>
      <c r="D711" s="6" t="s">
        <v>287</v>
      </c>
      <c r="E711" s="6" t="s">
        <v>74</v>
      </c>
      <c r="F711" s="6" t="s">
        <v>3</v>
      </c>
      <c r="G711" s="6" t="s">
        <v>4</v>
      </c>
      <c r="H711" s="6" t="s">
        <v>5</v>
      </c>
      <c r="I711" s="6" t="s">
        <v>401</v>
      </c>
      <c r="J711" s="6" t="s">
        <v>7</v>
      </c>
      <c r="K711" s="6" t="s">
        <v>60</v>
      </c>
      <c r="L711" s="6" t="s">
        <v>8</v>
      </c>
    </row>
    <row r="712" spans="1:15" ht="25.2" customHeight="1" x14ac:dyDescent="0.4">
      <c r="A712" s="648">
        <v>45022</v>
      </c>
      <c r="B712" s="378" t="s">
        <v>391</v>
      </c>
      <c r="C712" s="364"/>
      <c r="D712" s="364"/>
      <c r="E712" s="360">
        <v>1800</v>
      </c>
      <c r="F712" s="360"/>
      <c r="G712" s="360"/>
      <c r="H712" s="360"/>
      <c r="I712" s="360"/>
      <c r="J712" s="360"/>
      <c r="K712" s="352" t="s">
        <v>61</v>
      </c>
      <c r="L712" s="380" t="s">
        <v>412</v>
      </c>
    </row>
    <row r="713" spans="1:15" ht="25.2" customHeight="1" x14ac:dyDescent="0.4">
      <c r="A713" s="661"/>
      <c r="B713" s="378" t="s">
        <v>391</v>
      </c>
      <c r="C713" s="364"/>
      <c r="D713" s="364"/>
      <c r="E713" s="360">
        <v>1600</v>
      </c>
      <c r="F713" s="360"/>
      <c r="G713" s="360"/>
      <c r="H713" s="360"/>
      <c r="I713" s="360"/>
      <c r="J713" s="360"/>
      <c r="K713" s="352" t="s">
        <v>61</v>
      </c>
      <c r="L713" s="380" t="s">
        <v>413</v>
      </c>
    </row>
    <row r="714" spans="1:15" ht="25.2" customHeight="1" x14ac:dyDescent="0.4">
      <c r="A714" s="661"/>
      <c r="B714" s="378" t="s">
        <v>391</v>
      </c>
      <c r="C714" s="364"/>
      <c r="D714" s="364"/>
      <c r="E714" s="360">
        <v>10100</v>
      </c>
      <c r="F714" s="360"/>
      <c r="G714" s="360"/>
      <c r="H714" s="360"/>
      <c r="I714" s="360"/>
      <c r="J714" s="360"/>
      <c r="K714" s="352" t="s">
        <v>62</v>
      </c>
      <c r="L714" s="380" t="s">
        <v>418</v>
      </c>
    </row>
    <row r="715" spans="1:15" ht="25.2" customHeight="1" x14ac:dyDescent="0.4">
      <c r="A715" s="649"/>
      <c r="B715" s="378" t="s">
        <v>391</v>
      </c>
      <c r="C715" s="364"/>
      <c r="D715" s="364"/>
      <c r="E715" s="360"/>
      <c r="F715" s="382">
        <f>O715*N715/9</f>
        <v>9409.4000000000015</v>
      </c>
      <c r="G715" s="360"/>
      <c r="H715" s="360"/>
      <c r="I715" s="360"/>
      <c r="J715" s="360"/>
      <c r="K715" s="352"/>
      <c r="L715" s="380" t="s">
        <v>416</v>
      </c>
      <c r="N715" s="1">
        <v>55</v>
      </c>
      <c r="O715" s="366">
        <v>1539.72</v>
      </c>
    </row>
    <row r="716" spans="1:15" ht="25.2" customHeight="1" x14ac:dyDescent="0.4">
      <c r="A716" s="662" t="s">
        <v>17</v>
      </c>
      <c r="B716" s="662"/>
      <c r="C716" s="360">
        <f>SUM(C712:C715)</f>
        <v>0</v>
      </c>
      <c r="D716" s="360">
        <f>SUM(D712:D715)</f>
        <v>0</v>
      </c>
      <c r="E716" s="360">
        <f>SUM(E712:E715)</f>
        <v>13500</v>
      </c>
      <c r="F716" s="360">
        <f>ROUNDDOWN(SUM(F712:F715),0)</f>
        <v>9409</v>
      </c>
      <c r="G716" s="360" t="e">
        <f>SUM(#REF!)</f>
        <v>#REF!</v>
      </c>
      <c r="H716" s="360" t="e">
        <f>SUM(#REF!)</f>
        <v>#REF!</v>
      </c>
      <c r="I716" s="360">
        <f>SUM(I712:I715)</f>
        <v>0</v>
      </c>
      <c r="J716" s="360">
        <f>SUM(J712:J715)</f>
        <v>0</v>
      </c>
      <c r="K716" s="352" t="s">
        <v>383</v>
      </c>
      <c r="L716" s="380" t="s">
        <v>417</v>
      </c>
    </row>
    <row r="717" spans="1:15" ht="25.2" customHeight="1" x14ac:dyDescent="0.4">
      <c r="A717" s="659" t="s">
        <v>18</v>
      </c>
      <c r="B717" s="659"/>
      <c r="C717" s="383"/>
      <c r="D717" s="383"/>
      <c r="E717" s="383"/>
      <c r="F717" s="383">
        <f>C716+D716+E716+F716+I716+J716</f>
        <v>22909</v>
      </c>
      <c r="G717" s="383"/>
      <c r="H717" s="383"/>
      <c r="I717" s="383"/>
      <c r="J717" s="383"/>
      <c r="K717" s="381"/>
      <c r="L717" s="379"/>
    </row>
    <row r="719" spans="1:15" ht="25.2" customHeight="1" x14ac:dyDescent="0.4">
      <c r="A719" s="384" t="s">
        <v>0</v>
      </c>
      <c r="B719" s="384" t="s">
        <v>1</v>
      </c>
      <c r="C719" s="384" t="s">
        <v>4</v>
      </c>
      <c r="D719" s="384" t="s">
        <v>287</v>
      </c>
      <c r="E719" s="384" t="s">
        <v>74</v>
      </c>
      <c r="F719" s="384" t="s">
        <v>3</v>
      </c>
      <c r="G719" s="384" t="s">
        <v>4</v>
      </c>
      <c r="H719" s="384" t="s">
        <v>5</v>
      </c>
      <c r="I719" s="384" t="s">
        <v>401</v>
      </c>
      <c r="J719" s="384" t="s">
        <v>7</v>
      </c>
      <c r="K719" s="384" t="s">
        <v>60</v>
      </c>
      <c r="L719" s="384" t="s">
        <v>8</v>
      </c>
    </row>
    <row r="720" spans="1:15" ht="25.2" customHeight="1" x14ac:dyDescent="0.4">
      <c r="A720" s="720">
        <v>45029</v>
      </c>
      <c r="B720" s="385" t="s">
        <v>390</v>
      </c>
      <c r="C720" s="385"/>
      <c r="D720" s="385"/>
      <c r="E720" s="386">
        <v>1800</v>
      </c>
      <c r="F720" s="386"/>
      <c r="G720" s="386"/>
      <c r="H720" s="386"/>
      <c r="I720" s="386"/>
      <c r="J720" s="386"/>
      <c r="K720" s="386" t="s">
        <v>61</v>
      </c>
      <c r="L720" s="385" t="s">
        <v>412</v>
      </c>
    </row>
    <row r="721" spans="1:15" ht="25.2" customHeight="1" x14ac:dyDescent="0.4">
      <c r="A721" s="721"/>
      <c r="B721" s="385" t="s">
        <v>391</v>
      </c>
      <c r="C721" s="385"/>
      <c r="D721" s="385"/>
      <c r="E721" s="386">
        <v>1600</v>
      </c>
      <c r="F721" s="386"/>
      <c r="G721" s="386"/>
      <c r="H721" s="386"/>
      <c r="I721" s="386"/>
      <c r="J721" s="386"/>
      <c r="K721" s="386" t="s">
        <v>61</v>
      </c>
      <c r="L721" s="385" t="s">
        <v>413</v>
      </c>
    </row>
    <row r="722" spans="1:15" ht="25.2" customHeight="1" x14ac:dyDescent="0.4">
      <c r="A722" s="721"/>
      <c r="B722" s="385" t="s">
        <v>391</v>
      </c>
      <c r="C722" s="385"/>
      <c r="D722" s="385"/>
      <c r="E722" s="386">
        <v>7600</v>
      </c>
      <c r="F722" s="386"/>
      <c r="G722" s="386"/>
      <c r="H722" s="386"/>
      <c r="I722" s="386"/>
      <c r="J722" s="386"/>
      <c r="K722" s="386" t="s">
        <v>310</v>
      </c>
      <c r="L722" s="385" t="s">
        <v>418</v>
      </c>
      <c r="O722" s="366"/>
    </row>
    <row r="723" spans="1:15" ht="25.2" customHeight="1" x14ac:dyDescent="0.4">
      <c r="A723" s="722"/>
      <c r="B723" s="385" t="s">
        <v>391</v>
      </c>
      <c r="C723" s="385"/>
      <c r="D723" s="385"/>
      <c r="E723" s="386"/>
      <c r="F723" s="386">
        <f>O723*N723/9</f>
        <v>9409.4000000000015</v>
      </c>
      <c r="G723" s="386"/>
      <c r="H723" s="386"/>
      <c r="I723" s="386"/>
      <c r="J723" s="386"/>
      <c r="K723" s="386"/>
      <c r="L723" s="385" t="s">
        <v>421</v>
      </c>
      <c r="N723" s="1">
        <v>55</v>
      </c>
      <c r="O723" s="366">
        <v>1539.72</v>
      </c>
    </row>
    <row r="724" spans="1:15" ht="25.2" customHeight="1" x14ac:dyDescent="0.4">
      <c r="A724" s="720">
        <v>45030</v>
      </c>
      <c r="B724" s="385" t="s">
        <v>391</v>
      </c>
      <c r="C724" s="385"/>
      <c r="D724" s="385"/>
      <c r="E724" s="386">
        <v>1800</v>
      </c>
      <c r="F724" s="386"/>
      <c r="G724" s="386"/>
      <c r="H724" s="386"/>
      <c r="I724" s="386"/>
      <c r="J724" s="386"/>
      <c r="K724" s="386" t="s">
        <v>61</v>
      </c>
      <c r="L724" s="385" t="s">
        <v>412</v>
      </c>
    </row>
    <row r="725" spans="1:15" ht="25.2" customHeight="1" x14ac:dyDescent="0.4">
      <c r="A725" s="721"/>
      <c r="B725" s="385" t="s">
        <v>391</v>
      </c>
      <c r="C725" s="385"/>
      <c r="D725" s="385"/>
      <c r="E725" s="386">
        <v>1280</v>
      </c>
      <c r="F725" s="386"/>
      <c r="G725" s="386"/>
      <c r="H725" s="386"/>
      <c r="I725" s="386"/>
      <c r="J725" s="386"/>
      <c r="K725" s="386" t="s">
        <v>61</v>
      </c>
      <c r="L725" s="385" t="s">
        <v>413</v>
      </c>
    </row>
    <row r="726" spans="1:15" ht="25.2" customHeight="1" x14ac:dyDescent="0.4">
      <c r="A726" s="721"/>
      <c r="B726" s="385" t="s">
        <v>391</v>
      </c>
      <c r="C726" s="385"/>
      <c r="D726" s="385"/>
      <c r="E726" s="386">
        <v>8100</v>
      </c>
      <c r="F726" s="386"/>
      <c r="G726" s="386"/>
      <c r="H726" s="386"/>
      <c r="I726" s="386"/>
      <c r="J726" s="386"/>
      <c r="K726" s="386" t="s">
        <v>64</v>
      </c>
      <c r="L726" s="385" t="s">
        <v>418</v>
      </c>
    </row>
    <row r="727" spans="1:15" ht="25.2" customHeight="1" x14ac:dyDescent="0.4">
      <c r="A727" s="722"/>
      <c r="B727" s="385" t="s">
        <v>391</v>
      </c>
      <c r="C727" s="385"/>
      <c r="D727" s="385"/>
      <c r="E727" s="386"/>
      <c r="F727" s="386">
        <f>O727*N727/9</f>
        <v>9409.4000000000015</v>
      </c>
      <c r="G727" s="386"/>
      <c r="H727" s="386"/>
      <c r="I727" s="386"/>
      <c r="J727" s="386"/>
      <c r="K727" s="386"/>
      <c r="L727" s="385" t="s">
        <v>421</v>
      </c>
      <c r="N727" s="1">
        <v>55</v>
      </c>
      <c r="O727" s="366">
        <v>1539.72</v>
      </c>
    </row>
    <row r="728" spans="1:15" ht="25.2" customHeight="1" x14ac:dyDescent="0.4">
      <c r="A728" s="720">
        <v>45036</v>
      </c>
      <c r="B728" s="385" t="s">
        <v>391</v>
      </c>
      <c r="C728" s="385"/>
      <c r="D728" s="385"/>
      <c r="E728" s="386">
        <v>1800</v>
      </c>
      <c r="F728" s="386"/>
      <c r="G728" s="386"/>
      <c r="H728" s="386"/>
      <c r="I728" s="386"/>
      <c r="J728" s="386"/>
      <c r="K728" s="386" t="s">
        <v>61</v>
      </c>
      <c r="L728" s="385" t="s">
        <v>412</v>
      </c>
    </row>
    <row r="729" spans="1:15" ht="25.2" customHeight="1" x14ac:dyDescent="0.4">
      <c r="A729" s="721"/>
      <c r="B729" s="385" t="s">
        <v>391</v>
      </c>
      <c r="C729" s="385"/>
      <c r="D729" s="385"/>
      <c r="E729" s="386">
        <v>1600</v>
      </c>
      <c r="F729" s="386"/>
      <c r="G729" s="386"/>
      <c r="H729" s="386"/>
      <c r="I729" s="386"/>
      <c r="J729" s="386"/>
      <c r="K729" s="386" t="s">
        <v>61</v>
      </c>
      <c r="L729" s="385" t="s">
        <v>413</v>
      </c>
    </row>
    <row r="730" spans="1:15" ht="25.2" customHeight="1" x14ac:dyDescent="0.4">
      <c r="A730" s="721"/>
      <c r="B730" s="385" t="s">
        <v>391</v>
      </c>
      <c r="C730" s="385"/>
      <c r="D730" s="385"/>
      <c r="E730" s="386">
        <v>7100</v>
      </c>
      <c r="F730" s="386"/>
      <c r="G730" s="386"/>
      <c r="H730" s="386"/>
      <c r="I730" s="386"/>
      <c r="J730" s="386"/>
      <c r="K730" s="386" t="s">
        <v>96</v>
      </c>
      <c r="L730" s="385" t="s">
        <v>418</v>
      </c>
    </row>
    <row r="731" spans="1:15" ht="25.2" customHeight="1" x14ac:dyDescent="0.4">
      <c r="A731" s="722"/>
      <c r="B731" s="385" t="s">
        <v>391</v>
      </c>
      <c r="C731" s="385"/>
      <c r="D731" s="385"/>
      <c r="E731" s="386"/>
      <c r="F731" s="386">
        <f>O731*N731/9</f>
        <v>9409.4000000000015</v>
      </c>
      <c r="G731" s="386"/>
      <c r="H731" s="386"/>
      <c r="I731" s="386"/>
      <c r="J731" s="386"/>
      <c r="K731" s="386"/>
      <c r="L731" s="385" t="s">
        <v>421</v>
      </c>
      <c r="N731" s="1">
        <v>55</v>
      </c>
      <c r="O731" s="366">
        <v>1539.72</v>
      </c>
    </row>
    <row r="732" spans="1:15" ht="25.2" customHeight="1" x14ac:dyDescent="0.4">
      <c r="A732" s="720">
        <v>45043</v>
      </c>
      <c r="B732" s="385" t="s">
        <v>391</v>
      </c>
      <c r="C732" s="385"/>
      <c r="D732" s="385"/>
      <c r="E732" s="386">
        <v>1800</v>
      </c>
      <c r="F732" s="386"/>
      <c r="G732" s="386"/>
      <c r="H732" s="386"/>
      <c r="I732" s="386"/>
      <c r="J732" s="386"/>
      <c r="K732" s="386" t="s">
        <v>61</v>
      </c>
      <c r="L732" s="385" t="s">
        <v>412</v>
      </c>
    </row>
    <row r="733" spans="1:15" ht="25.2" customHeight="1" x14ac:dyDescent="0.4">
      <c r="A733" s="721"/>
      <c r="B733" s="385" t="s">
        <v>391</v>
      </c>
      <c r="C733" s="385"/>
      <c r="D733" s="385"/>
      <c r="E733" s="386">
        <v>1600</v>
      </c>
      <c r="F733" s="386"/>
      <c r="G733" s="386"/>
      <c r="H733" s="386"/>
      <c r="I733" s="386"/>
      <c r="J733" s="386"/>
      <c r="K733" s="386" t="s">
        <v>61</v>
      </c>
      <c r="L733" s="385" t="s">
        <v>413</v>
      </c>
    </row>
    <row r="734" spans="1:15" ht="25.2" customHeight="1" x14ac:dyDescent="0.4">
      <c r="A734" s="721"/>
      <c r="B734" s="385" t="s">
        <v>391</v>
      </c>
      <c r="C734" s="385"/>
      <c r="D734" s="385"/>
      <c r="E734" s="386">
        <v>7600</v>
      </c>
      <c r="F734" s="386"/>
      <c r="G734" s="386"/>
      <c r="H734" s="386"/>
      <c r="I734" s="386"/>
      <c r="J734" s="386"/>
      <c r="K734" s="386" t="s">
        <v>66</v>
      </c>
      <c r="L734" s="385" t="s">
        <v>418</v>
      </c>
    </row>
    <row r="735" spans="1:15" ht="25.2" customHeight="1" x14ac:dyDescent="0.4">
      <c r="A735" s="722"/>
      <c r="B735" s="385" t="s">
        <v>391</v>
      </c>
      <c r="C735" s="385"/>
      <c r="D735" s="385"/>
      <c r="E735" s="386"/>
      <c r="F735" s="386">
        <f>O735*N735/9</f>
        <v>9409.4000000000015</v>
      </c>
      <c r="G735" s="386"/>
      <c r="H735" s="386"/>
      <c r="I735" s="386"/>
      <c r="J735" s="386"/>
      <c r="K735" s="386"/>
      <c r="L735" s="385" t="s">
        <v>421</v>
      </c>
      <c r="N735" s="1">
        <v>55</v>
      </c>
      <c r="O735" s="366">
        <v>1539.72</v>
      </c>
    </row>
    <row r="736" spans="1:15" ht="25.2" customHeight="1" x14ac:dyDescent="0.4">
      <c r="A736" s="673" t="s">
        <v>17</v>
      </c>
      <c r="B736" s="673"/>
      <c r="C736" s="386">
        <f>SUM(C720:C735)</f>
        <v>0</v>
      </c>
      <c r="D736" s="386">
        <f>SUM(D720:D735)</f>
        <v>0</v>
      </c>
      <c r="E736" s="386">
        <f>SUM(E720:E735)</f>
        <v>43680</v>
      </c>
      <c r="F736" s="386">
        <f>ROUNDDOWN(SUM(F720:F735),0)</f>
        <v>37637</v>
      </c>
      <c r="G736" s="386" t="e">
        <f>SUM(#REF!)</f>
        <v>#REF!</v>
      </c>
      <c r="H736" s="386" t="e">
        <f>SUM(#REF!)</f>
        <v>#REF!</v>
      </c>
      <c r="I736" s="386">
        <f>SUM(I720:I735)</f>
        <v>0</v>
      </c>
      <c r="J736" s="386">
        <f>SUM(J720:J735)</f>
        <v>0</v>
      </c>
      <c r="K736" s="386" t="s">
        <v>383</v>
      </c>
      <c r="L736" s="385" t="s">
        <v>417</v>
      </c>
    </row>
    <row r="737" spans="1:15" ht="25.2" customHeight="1" x14ac:dyDescent="0.4">
      <c r="A737" s="672" t="s">
        <v>18</v>
      </c>
      <c r="B737" s="672"/>
      <c r="C737" s="390"/>
      <c r="D737" s="391"/>
      <c r="E737" s="391"/>
      <c r="F737" s="391"/>
      <c r="G737" s="391"/>
      <c r="H737" s="391"/>
      <c r="I737" s="391"/>
      <c r="J737" s="392">
        <f>C736+D736+E736+F736+I736+J736</f>
        <v>81317</v>
      </c>
      <c r="K737" s="388"/>
      <c r="L737" s="389"/>
    </row>
    <row r="740" spans="1:15" ht="25.2" customHeight="1" x14ac:dyDescent="0.4">
      <c r="A740" s="384" t="s">
        <v>0</v>
      </c>
      <c r="B740" s="384" t="s">
        <v>1</v>
      </c>
      <c r="C740" s="384" t="s">
        <v>4</v>
      </c>
      <c r="D740" s="384" t="s">
        <v>287</v>
      </c>
      <c r="E740" s="384" t="s">
        <v>74</v>
      </c>
      <c r="F740" s="384" t="s">
        <v>3</v>
      </c>
      <c r="G740" s="384" t="s">
        <v>4</v>
      </c>
      <c r="H740" s="384" t="s">
        <v>5</v>
      </c>
      <c r="I740" s="384" t="s">
        <v>401</v>
      </c>
      <c r="J740" s="384" t="s">
        <v>7</v>
      </c>
      <c r="K740" s="384" t="s">
        <v>60</v>
      </c>
      <c r="L740" s="384" t="s">
        <v>8</v>
      </c>
    </row>
    <row r="741" spans="1:15" ht="25.2" customHeight="1" x14ac:dyDescent="0.4">
      <c r="A741" s="720">
        <v>45057</v>
      </c>
      <c r="B741" s="715" t="s">
        <v>429</v>
      </c>
      <c r="C741" s="387"/>
      <c r="D741" s="387"/>
      <c r="E741" s="386">
        <v>1800</v>
      </c>
      <c r="F741" s="386"/>
      <c r="G741" s="386"/>
      <c r="H741" s="386"/>
      <c r="I741" s="386"/>
      <c r="J741" s="386"/>
      <c r="K741" s="386" t="s">
        <v>61</v>
      </c>
      <c r="L741" s="387" t="s">
        <v>246</v>
      </c>
    </row>
    <row r="742" spans="1:15" ht="25.2" customHeight="1" x14ac:dyDescent="0.4">
      <c r="A742" s="721"/>
      <c r="B742" s="723"/>
      <c r="C742" s="387"/>
      <c r="D742" s="387"/>
      <c r="E742" s="386">
        <v>1600</v>
      </c>
      <c r="F742" s="386"/>
      <c r="G742" s="386"/>
      <c r="H742" s="386"/>
      <c r="I742" s="386"/>
      <c r="J742" s="386"/>
      <c r="K742" s="386" t="s">
        <v>61</v>
      </c>
      <c r="L742" s="387" t="s">
        <v>242</v>
      </c>
    </row>
    <row r="743" spans="1:15" ht="25.2" customHeight="1" x14ac:dyDescent="0.4">
      <c r="A743" s="721"/>
      <c r="B743" s="723"/>
      <c r="C743" s="387"/>
      <c r="D743" s="387">
        <v>11100</v>
      </c>
      <c r="E743" s="386"/>
      <c r="F743" s="386"/>
      <c r="G743" s="386"/>
      <c r="H743" s="386"/>
      <c r="I743" s="386"/>
      <c r="J743" s="386"/>
      <c r="K743" s="386" t="s">
        <v>434</v>
      </c>
      <c r="L743" s="387" t="s">
        <v>296</v>
      </c>
    </row>
    <row r="744" spans="1:15" ht="25.2" customHeight="1" x14ac:dyDescent="0.4">
      <c r="A744" s="722"/>
      <c r="B744" s="716"/>
      <c r="C744" s="387"/>
      <c r="D744" s="387"/>
      <c r="E744" s="386"/>
      <c r="F744" s="386">
        <f>O744*N744/9</f>
        <v>9384.8333333333339</v>
      </c>
      <c r="G744" s="386"/>
      <c r="H744" s="386"/>
      <c r="I744" s="386"/>
      <c r="J744" s="386"/>
      <c r="K744" s="386"/>
      <c r="L744" s="387" t="s">
        <v>425</v>
      </c>
      <c r="N744" s="1">
        <v>55</v>
      </c>
      <c r="O744" s="43">
        <v>1535.7</v>
      </c>
    </row>
    <row r="745" spans="1:15" ht="25.2" customHeight="1" x14ac:dyDescent="0.4">
      <c r="A745" s="720">
        <v>45063</v>
      </c>
      <c r="B745" s="715" t="s">
        <v>431</v>
      </c>
      <c r="C745" s="387"/>
      <c r="D745" s="387"/>
      <c r="E745" s="386"/>
      <c r="F745" s="386"/>
      <c r="G745" s="386"/>
      <c r="H745" s="386"/>
      <c r="I745" s="386"/>
      <c r="J745" s="386">
        <f>3*8000</f>
        <v>24000</v>
      </c>
      <c r="K745" s="386"/>
      <c r="L745" s="387" t="s">
        <v>427</v>
      </c>
      <c r="O745" s="43"/>
    </row>
    <row r="746" spans="1:15" ht="25.2" customHeight="1" x14ac:dyDescent="0.4">
      <c r="A746" s="721"/>
      <c r="B746" s="716"/>
      <c r="C746" s="387"/>
      <c r="D746" s="387"/>
      <c r="E746" s="386">
        <v>51300</v>
      </c>
      <c r="F746" s="386"/>
      <c r="G746" s="386"/>
      <c r="H746" s="386"/>
      <c r="I746" s="386"/>
      <c r="J746" s="386"/>
      <c r="K746" s="386" t="s">
        <v>435</v>
      </c>
      <c r="L746" s="387" t="s">
        <v>428</v>
      </c>
    </row>
    <row r="747" spans="1:15" ht="25.2" customHeight="1" x14ac:dyDescent="0.4">
      <c r="A747" s="393">
        <v>45064</v>
      </c>
      <c r="B747" s="387" t="s">
        <v>432</v>
      </c>
      <c r="C747" s="387"/>
      <c r="D747" s="387"/>
      <c r="E747" s="386"/>
      <c r="F747" s="386"/>
      <c r="G747" s="386"/>
      <c r="H747" s="386"/>
      <c r="I747" s="386"/>
      <c r="J747" s="386">
        <f>3*8000</f>
        <v>24000</v>
      </c>
      <c r="K747" s="386"/>
      <c r="L747" s="387" t="s">
        <v>427</v>
      </c>
    </row>
    <row r="748" spans="1:15" ht="25.2" customHeight="1" x14ac:dyDescent="0.4">
      <c r="A748" s="393">
        <v>45065</v>
      </c>
      <c r="B748" s="387" t="s">
        <v>433</v>
      </c>
      <c r="C748" s="387"/>
      <c r="D748" s="387"/>
      <c r="E748" s="386"/>
      <c r="F748" s="386"/>
      <c r="G748" s="386"/>
      <c r="H748" s="386"/>
      <c r="I748" s="386"/>
      <c r="J748" s="386">
        <f>2*8000</f>
        <v>16000</v>
      </c>
      <c r="K748" s="386"/>
      <c r="L748" s="387" t="s">
        <v>427</v>
      </c>
    </row>
    <row r="749" spans="1:15" ht="25.2" customHeight="1" x14ac:dyDescent="0.4">
      <c r="A749" s="720">
        <v>45071</v>
      </c>
      <c r="B749" s="715" t="s">
        <v>430</v>
      </c>
      <c r="C749" s="387"/>
      <c r="D749" s="387"/>
      <c r="E749" s="386">
        <v>1800</v>
      </c>
      <c r="F749" s="386"/>
      <c r="G749" s="386"/>
      <c r="H749" s="386"/>
      <c r="I749" s="386"/>
      <c r="J749" s="386"/>
      <c r="K749" s="386" t="s">
        <v>61</v>
      </c>
      <c r="L749" s="387" t="s">
        <v>246</v>
      </c>
    </row>
    <row r="750" spans="1:15" ht="25.2" customHeight="1" x14ac:dyDescent="0.4">
      <c r="A750" s="721"/>
      <c r="B750" s="723"/>
      <c r="C750" s="387"/>
      <c r="D750" s="387"/>
      <c r="E750" s="386">
        <v>1600</v>
      </c>
      <c r="F750" s="386"/>
      <c r="G750" s="386"/>
      <c r="H750" s="386"/>
      <c r="I750" s="386"/>
      <c r="J750" s="386"/>
      <c r="K750" s="386" t="s">
        <v>61</v>
      </c>
      <c r="L750" s="387" t="s">
        <v>242</v>
      </c>
    </row>
    <row r="751" spans="1:15" ht="25.2" customHeight="1" x14ac:dyDescent="0.4">
      <c r="A751" s="721"/>
      <c r="B751" s="723"/>
      <c r="C751" s="387"/>
      <c r="D751" s="387">
        <v>7100</v>
      </c>
      <c r="E751" s="386"/>
      <c r="F751" s="386"/>
      <c r="G751" s="386"/>
      <c r="H751" s="386"/>
      <c r="I751" s="386"/>
      <c r="J751" s="386"/>
      <c r="K751" s="386" t="s">
        <v>436</v>
      </c>
      <c r="L751" s="387" t="s">
        <v>296</v>
      </c>
    </row>
    <row r="752" spans="1:15" ht="25.2" customHeight="1" x14ac:dyDescent="0.4">
      <c r="A752" s="722"/>
      <c r="B752" s="716"/>
      <c r="C752" s="387"/>
      <c r="D752" s="387"/>
      <c r="E752" s="386"/>
      <c r="F752" s="386">
        <f>O752*N752/9</f>
        <v>9384.8333333333339</v>
      </c>
      <c r="G752" s="386"/>
      <c r="H752" s="386"/>
      <c r="I752" s="386"/>
      <c r="J752" s="386"/>
      <c r="K752" s="386"/>
      <c r="L752" s="387" t="s">
        <v>425</v>
      </c>
      <c r="N752" s="1">
        <v>55</v>
      </c>
      <c r="O752" s="43">
        <v>1535.7</v>
      </c>
    </row>
    <row r="753" spans="1:12" ht="25.2" customHeight="1" x14ac:dyDescent="0.4">
      <c r="A753" s="673" t="s">
        <v>17</v>
      </c>
      <c r="B753" s="673"/>
      <c r="C753" s="386">
        <f>SUM(C741:C752)</f>
        <v>0</v>
      </c>
      <c r="D753" s="386">
        <f>SUM(D741:D752)</f>
        <v>18200</v>
      </c>
      <c r="E753" s="386">
        <f>SUM(E741:E752)</f>
        <v>58100</v>
      </c>
      <c r="F753" s="386">
        <f>ROUNDDOWN(SUM(F741:F752),0)</f>
        <v>18769</v>
      </c>
      <c r="G753" s="386" t="e">
        <f>SUM(#REF!)</f>
        <v>#REF!</v>
      </c>
      <c r="H753" s="386" t="e">
        <f>SUM(#REF!)</f>
        <v>#REF!</v>
      </c>
      <c r="I753" s="386">
        <f>SUM(I741:I752)</f>
        <v>0</v>
      </c>
      <c r="J753" s="386">
        <f>SUM(J741:J752)</f>
        <v>64000</v>
      </c>
      <c r="K753" s="386" t="s">
        <v>271</v>
      </c>
      <c r="L753" s="387" t="s">
        <v>426</v>
      </c>
    </row>
    <row r="754" spans="1:12" ht="25.2" customHeight="1" x14ac:dyDescent="0.4">
      <c r="A754" s="672" t="s">
        <v>18</v>
      </c>
      <c r="B754" s="672"/>
      <c r="C754" s="390"/>
      <c r="D754" s="391"/>
      <c r="E754" s="391"/>
      <c r="F754" s="391"/>
      <c r="G754" s="391"/>
      <c r="H754" s="391"/>
      <c r="I754" s="391"/>
      <c r="J754" s="392">
        <f>C753+D753+E753+F753+I753+J753</f>
        <v>159069</v>
      </c>
      <c r="K754" s="388"/>
      <c r="L754" s="389"/>
    </row>
    <row r="756" spans="1:12" ht="25.2" customHeight="1" x14ac:dyDescent="0.4">
      <c r="A756" s="384" t="s">
        <v>0</v>
      </c>
      <c r="B756" s="384" t="s">
        <v>1</v>
      </c>
      <c r="C756" s="677" t="s">
        <v>4</v>
      </c>
      <c r="D756" s="678"/>
      <c r="E756" s="678"/>
      <c r="F756" s="678"/>
      <c r="G756" s="678"/>
      <c r="H756" s="678"/>
      <c r="I756" s="678"/>
      <c r="J756" s="679"/>
      <c r="K756" s="384" t="s">
        <v>437</v>
      </c>
      <c r="L756" s="384" t="s">
        <v>8</v>
      </c>
    </row>
    <row r="757" spans="1:12" ht="25.2" customHeight="1" x14ac:dyDescent="0.4">
      <c r="A757" s="393">
        <v>45063</v>
      </c>
      <c r="B757" s="387" t="s">
        <v>438</v>
      </c>
      <c r="C757" s="717">
        <v>120000</v>
      </c>
      <c r="D757" s="718"/>
      <c r="E757" s="718"/>
      <c r="F757" s="718"/>
      <c r="G757" s="718"/>
      <c r="H757" s="718"/>
      <c r="I757" s="718"/>
      <c r="J757" s="719"/>
      <c r="K757" s="386"/>
      <c r="L757" s="387" t="s">
        <v>423</v>
      </c>
    </row>
    <row r="758" spans="1:12" ht="25.2" customHeight="1" x14ac:dyDescent="0.4">
      <c r="A758" s="393">
        <v>45064</v>
      </c>
      <c r="B758" s="387" t="s">
        <v>438</v>
      </c>
      <c r="C758" s="717">
        <v>140000</v>
      </c>
      <c r="D758" s="718"/>
      <c r="E758" s="718"/>
      <c r="F758" s="718"/>
      <c r="G758" s="718"/>
      <c r="H758" s="718"/>
      <c r="I758" s="718"/>
      <c r="J758" s="719"/>
      <c r="K758" s="386"/>
      <c r="L758" s="387" t="s">
        <v>424</v>
      </c>
    </row>
    <row r="759" spans="1:12" ht="25.2" customHeight="1" x14ac:dyDescent="0.4">
      <c r="A759" s="673" t="s">
        <v>17</v>
      </c>
      <c r="B759" s="673"/>
      <c r="C759" s="666">
        <f>SUM(C757:C758)</f>
        <v>260000</v>
      </c>
      <c r="D759" s="667"/>
      <c r="E759" s="667"/>
      <c r="F759" s="667"/>
      <c r="G759" s="667"/>
      <c r="H759" s="667"/>
      <c r="I759" s="667"/>
      <c r="J759" s="668"/>
      <c r="K759" s="386" t="s">
        <v>271</v>
      </c>
      <c r="L759" s="387" t="s">
        <v>422</v>
      </c>
    </row>
    <row r="760" spans="1:12" ht="25.2" customHeight="1" x14ac:dyDescent="0.4">
      <c r="A760" s="672" t="s">
        <v>18</v>
      </c>
      <c r="B760" s="672"/>
      <c r="C760" s="669">
        <f>C759+D759+E759+F759+I759+J759</f>
        <v>260000</v>
      </c>
      <c r="D760" s="670"/>
      <c r="E760" s="670"/>
      <c r="F760" s="670"/>
      <c r="G760" s="670"/>
      <c r="H760" s="670"/>
      <c r="I760" s="670"/>
      <c r="J760" s="671"/>
      <c r="K760" s="388"/>
      <c r="L760" s="389"/>
    </row>
    <row r="763" spans="1:12" ht="25.2" customHeight="1" x14ac:dyDescent="0.4">
      <c r="A763" s="384" t="s">
        <v>0</v>
      </c>
      <c r="B763" s="384" t="s">
        <v>1</v>
      </c>
      <c r="C763" s="384" t="s">
        <v>4</v>
      </c>
      <c r="D763" s="384" t="s">
        <v>287</v>
      </c>
      <c r="E763" s="384" t="s">
        <v>74</v>
      </c>
      <c r="F763" s="384" t="s">
        <v>3</v>
      </c>
      <c r="G763" s="384" t="s">
        <v>4</v>
      </c>
      <c r="H763" s="384" t="s">
        <v>5</v>
      </c>
      <c r="I763" s="384" t="s">
        <v>401</v>
      </c>
      <c r="J763" s="384" t="s">
        <v>7</v>
      </c>
      <c r="K763" s="384" t="s">
        <v>60</v>
      </c>
      <c r="L763" s="384" t="s">
        <v>8</v>
      </c>
    </row>
    <row r="764" spans="1:12" ht="25.2" customHeight="1" x14ac:dyDescent="0.4">
      <c r="A764" s="720">
        <v>45077</v>
      </c>
      <c r="B764" s="715" t="s">
        <v>439</v>
      </c>
      <c r="C764" s="395"/>
      <c r="D764" s="395"/>
      <c r="E764" s="386"/>
      <c r="F764" s="386"/>
      <c r="G764" s="386"/>
      <c r="H764" s="386"/>
      <c r="I764" s="386"/>
      <c r="J764" s="386">
        <f>3*8000</f>
        <v>24000</v>
      </c>
      <c r="K764" s="386" t="s">
        <v>442</v>
      </c>
      <c r="L764" s="395" t="s">
        <v>440</v>
      </c>
    </row>
    <row r="765" spans="1:12" ht="25.2" customHeight="1" x14ac:dyDescent="0.4">
      <c r="A765" s="721"/>
      <c r="B765" s="723"/>
      <c r="C765" s="395">
        <v>40500</v>
      </c>
      <c r="D765" s="395"/>
      <c r="E765" s="386"/>
      <c r="F765" s="386"/>
      <c r="G765" s="386"/>
      <c r="H765" s="386"/>
      <c r="I765" s="386"/>
      <c r="J765" s="386"/>
      <c r="K765" s="386" t="s">
        <v>61</v>
      </c>
      <c r="L765" s="395" t="s">
        <v>441</v>
      </c>
    </row>
    <row r="766" spans="1:12" ht="25.2" customHeight="1" x14ac:dyDescent="0.4">
      <c r="A766" s="673" t="s">
        <v>17</v>
      </c>
      <c r="B766" s="673"/>
      <c r="C766" s="386">
        <f>SUM(C764:C765)</f>
        <v>40500</v>
      </c>
      <c r="D766" s="386">
        <f>SUM(D764:D765)</f>
        <v>0</v>
      </c>
      <c r="E766" s="386">
        <f>SUM(E764:E765)</f>
        <v>0</v>
      </c>
      <c r="F766" s="386">
        <f>ROUNDDOWN(SUM(F764:F765),0)</f>
        <v>0</v>
      </c>
      <c r="G766" s="386" t="e">
        <f>SUM(#REF!)</f>
        <v>#REF!</v>
      </c>
      <c r="H766" s="386" t="e">
        <f>SUM(#REF!)</f>
        <v>#REF!</v>
      </c>
      <c r="I766" s="386">
        <f>SUM(I764:I765)</f>
        <v>0</v>
      </c>
      <c r="J766" s="386">
        <f>SUM(J764:J765)</f>
        <v>24000</v>
      </c>
      <c r="K766" s="386" t="s">
        <v>271</v>
      </c>
      <c r="L766" s="395"/>
    </row>
    <row r="767" spans="1:12" ht="25.2" customHeight="1" x14ac:dyDescent="0.4">
      <c r="A767" s="672" t="s">
        <v>18</v>
      </c>
      <c r="B767" s="672"/>
      <c r="C767" s="390"/>
      <c r="D767" s="391"/>
      <c r="E767" s="391"/>
      <c r="F767" s="391"/>
      <c r="G767" s="391"/>
      <c r="H767" s="391"/>
      <c r="I767" s="391"/>
      <c r="J767" s="392">
        <f>C766+D766+E766+F766+I766+J766</f>
        <v>64500</v>
      </c>
      <c r="K767" s="388"/>
      <c r="L767" s="394" t="s">
        <v>443</v>
      </c>
    </row>
    <row r="769" spans="1:15" ht="25.2" customHeight="1" x14ac:dyDescent="0.4">
      <c r="A769" s="384" t="s">
        <v>0</v>
      </c>
      <c r="B769" s="384" t="s">
        <v>1</v>
      </c>
      <c r="C769" s="384" t="s">
        <v>4</v>
      </c>
      <c r="D769" s="384" t="s">
        <v>287</v>
      </c>
      <c r="E769" s="384" t="s">
        <v>74</v>
      </c>
      <c r="F769" s="384" t="s">
        <v>3</v>
      </c>
      <c r="G769" s="384" t="s">
        <v>4</v>
      </c>
      <c r="H769" s="384" t="s">
        <v>5</v>
      </c>
      <c r="I769" s="384" t="s">
        <v>401</v>
      </c>
      <c r="J769" s="384" t="s">
        <v>7</v>
      </c>
      <c r="K769" s="384" t="s">
        <v>60</v>
      </c>
      <c r="L769" s="384" t="s">
        <v>8</v>
      </c>
    </row>
    <row r="770" spans="1:15" ht="25.2" customHeight="1" x14ac:dyDescent="0.4">
      <c r="A770" s="720">
        <v>45078</v>
      </c>
      <c r="B770" s="715" t="s">
        <v>439</v>
      </c>
      <c r="C770" s="396"/>
      <c r="D770" s="396"/>
      <c r="E770" s="386"/>
      <c r="F770" s="386"/>
      <c r="G770" s="386"/>
      <c r="H770" s="386"/>
      <c r="I770" s="386"/>
      <c r="J770" s="386">
        <f>3*8000</f>
        <v>24000</v>
      </c>
      <c r="K770" s="386" t="s">
        <v>271</v>
      </c>
      <c r="L770" s="396" t="s">
        <v>440</v>
      </c>
    </row>
    <row r="771" spans="1:15" ht="25.2" customHeight="1" x14ac:dyDescent="0.4">
      <c r="A771" s="722"/>
      <c r="B771" s="716"/>
      <c r="C771" s="396">
        <v>42000</v>
      </c>
      <c r="D771" s="396"/>
      <c r="E771" s="386"/>
      <c r="F771" s="386"/>
      <c r="G771" s="386"/>
      <c r="H771" s="386"/>
      <c r="I771" s="386"/>
      <c r="J771" s="386"/>
      <c r="K771" s="386" t="s">
        <v>62</v>
      </c>
      <c r="L771" s="396" t="s">
        <v>441</v>
      </c>
    </row>
    <row r="772" spans="1:15" ht="25.2" customHeight="1" x14ac:dyDescent="0.4">
      <c r="A772" s="720">
        <v>45079</v>
      </c>
      <c r="B772" s="715" t="s">
        <v>439</v>
      </c>
      <c r="C772" s="396"/>
      <c r="D772" s="396"/>
      <c r="E772" s="386"/>
      <c r="F772" s="386"/>
      <c r="G772" s="386"/>
      <c r="H772" s="386"/>
      <c r="I772" s="386"/>
      <c r="J772" s="386">
        <f>3*8000</f>
        <v>24000</v>
      </c>
      <c r="K772" s="386" t="s">
        <v>271</v>
      </c>
      <c r="L772" s="396" t="s">
        <v>440</v>
      </c>
    </row>
    <row r="773" spans="1:15" ht="25.2" customHeight="1" x14ac:dyDescent="0.4">
      <c r="A773" s="722"/>
      <c r="B773" s="716"/>
      <c r="C773" s="396"/>
      <c r="D773" s="396">
        <v>11700</v>
      </c>
      <c r="E773" s="386"/>
      <c r="F773" s="386"/>
      <c r="G773" s="386"/>
      <c r="H773" s="386"/>
      <c r="I773" s="386"/>
      <c r="J773" s="386"/>
      <c r="K773" s="386" t="s">
        <v>84</v>
      </c>
      <c r="L773" s="396" t="s">
        <v>287</v>
      </c>
    </row>
    <row r="774" spans="1:15" ht="25.2" customHeight="1" x14ac:dyDescent="0.4">
      <c r="A774" s="673" t="s">
        <v>17</v>
      </c>
      <c r="B774" s="673"/>
      <c r="C774" s="386">
        <f>SUM(C770:C773)</f>
        <v>42000</v>
      </c>
      <c r="D774" s="386">
        <f>SUM(D770:D773)</f>
        <v>11700</v>
      </c>
      <c r="E774" s="386">
        <f>SUM(E770:E773)</f>
        <v>0</v>
      </c>
      <c r="F774" s="386">
        <f>ROUNDDOWN(SUM(F770:F773),0)</f>
        <v>0</v>
      </c>
      <c r="G774" s="386" t="e">
        <f>SUM(#REF!)</f>
        <v>#REF!</v>
      </c>
      <c r="H774" s="386" t="e">
        <f>SUM(#REF!)</f>
        <v>#REF!</v>
      </c>
      <c r="I774" s="386">
        <f>SUM(I770:I773)</f>
        <v>0</v>
      </c>
      <c r="J774" s="386">
        <f>SUM(J770:J773)</f>
        <v>48000</v>
      </c>
      <c r="K774" s="386" t="s">
        <v>271</v>
      </c>
      <c r="L774" s="396"/>
    </row>
    <row r="775" spans="1:15" ht="25.2" customHeight="1" x14ac:dyDescent="0.4">
      <c r="A775" s="672" t="s">
        <v>18</v>
      </c>
      <c r="B775" s="672"/>
      <c r="C775" s="390"/>
      <c r="D775" s="391"/>
      <c r="E775" s="391"/>
      <c r="F775" s="391"/>
      <c r="G775" s="391"/>
      <c r="H775" s="391"/>
      <c r="I775" s="391"/>
      <c r="J775" s="392">
        <f>C774+D774+E774+F774+I774+J774</f>
        <v>101700</v>
      </c>
      <c r="K775" s="388"/>
      <c r="L775" s="397" t="s">
        <v>444</v>
      </c>
    </row>
    <row r="778" spans="1:15" ht="25.2" customHeight="1" x14ac:dyDescent="0.4">
      <c r="A778" s="6" t="s">
        <v>0</v>
      </c>
      <c r="B778" s="6" t="s">
        <v>1</v>
      </c>
      <c r="C778" s="6" t="s">
        <v>4</v>
      </c>
      <c r="D778" s="6" t="s">
        <v>287</v>
      </c>
      <c r="E778" s="6" t="s">
        <v>74</v>
      </c>
      <c r="F778" s="6" t="s">
        <v>3</v>
      </c>
      <c r="G778" s="6" t="s">
        <v>4</v>
      </c>
      <c r="H778" s="6" t="s">
        <v>5</v>
      </c>
      <c r="I778" s="6" t="s">
        <v>401</v>
      </c>
      <c r="J778" s="6" t="s">
        <v>7</v>
      </c>
      <c r="K778" s="6" t="s">
        <v>60</v>
      </c>
      <c r="L778" s="6" t="s">
        <v>8</v>
      </c>
    </row>
    <row r="779" spans="1:15" ht="25.2" customHeight="1" x14ac:dyDescent="0.4">
      <c r="A779" s="648">
        <v>45085</v>
      </c>
      <c r="B779" s="400" t="s">
        <v>390</v>
      </c>
      <c r="C779" s="364"/>
      <c r="D779" s="364"/>
      <c r="E779" s="360">
        <v>1800</v>
      </c>
      <c r="F779" s="360"/>
      <c r="G779" s="360"/>
      <c r="H779" s="360"/>
      <c r="I779" s="360"/>
      <c r="J779" s="360"/>
      <c r="K779" s="352" t="s">
        <v>61</v>
      </c>
      <c r="L779" s="398" t="s">
        <v>246</v>
      </c>
    </row>
    <row r="780" spans="1:15" ht="25.2" customHeight="1" x14ac:dyDescent="0.4">
      <c r="A780" s="661"/>
      <c r="B780" s="400" t="s">
        <v>390</v>
      </c>
      <c r="C780" s="364"/>
      <c r="D780" s="364"/>
      <c r="E780" s="360">
        <v>1600</v>
      </c>
      <c r="F780" s="360"/>
      <c r="G780" s="360"/>
      <c r="H780" s="360"/>
      <c r="I780" s="360"/>
      <c r="J780" s="360"/>
      <c r="K780" s="352" t="s">
        <v>61</v>
      </c>
      <c r="L780" s="398" t="s">
        <v>242</v>
      </c>
    </row>
    <row r="781" spans="1:15" ht="25.2" customHeight="1" x14ac:dyDescent="0.4">
      <c r="A781" s="661"/>
      <c r="B781" s="400" t="s">
        <v>390</v>
      </c>
      <c r="C781" s="364"/>
      <c r="D781" s="364"/>
      <c r="E781" s="360">
        <v>8600</v>
      </c>
      <c r="F781" s="360"/>
      <c r="G781" s="360"/>
      <c r="H781" s="360"/>
      <c r="I781" s="360"/>
      <c r="J781" s="360"/>
      <c r="K781" s="352" t="s">
        <v>62</v>
      </c>
      <c r="L781" s="398" t="s">
        <v>296</v>
      </c>
    </row>
    <row r="782" spans="1:15" ht="25.2" customHeight="1" x14ac:dyDescent="0.4">
      <c r="A782" s="649"/>
      <c r="B782" s="400" t="s">
        <v>390</v>
      </c>
      <c r="C782" s="364"/>
      <c r="D782" s="364"/>
      <c r="E782" s="360"/>
      <c r="F782" s="382">
        <f>O782*N782/9</f>
        <v>8995.3722222222223</v>
      </c>
      <c r="G782" s="360"/>
      <c r="H782" s="360"/>
      <c r="I782" s="360"/>
      <c r="J782" s="360"/>
      <c r="K782" s="352"/>
      <c r="L782" s="398" t="s">
        <v>463</v>
      </c>
      <c r="N782" s="1">
        <v>55</v>
      </c>
      <c r="O782" s="366">
        <v>1471.97</v>
      </c>
    </row>
    <row r="783" spans="1:15" ht="25.2" customHeight="1" x14ac:dyDescent="0.4">
      <c r="A783" s="648">
        <v>45092</v>
      </c>
      <c r="B783" s="400" t="s">
        <v>390</v>
      </c>
      <c r="C783" s="364"/>
      <c r="D783" s="364"/>
      <c r="E783" s="360">
        <v>1800</v>
      </c>
      <c r="F783" s="360"/>
      <c r="G783" s="360"/>
      <c r="H783" s="360"/>
      <c r="I783" s="360"/>
      <c r="J783" s="360"/>
      <c r="K783" s="352" t="s">
        <v>61</v>
      </c>
      <c r="L783" s="398" t="s">
        <v>246</v>
      </c>
    </row>
    <row r="784" spans="1:15" ht="25.2" customHeight="1" x14ac:dyDescent="0.4">
      <c r="A784" s="661"/>
      <c r="B784" s="400" t="s">
        <v>390</v>
      </c>
      <c r="C784" s="364"/>
      <c r="D784" s="364"/>
      <c r="E784" s="360">
        <v>1600</v>
      </c>
      <c r="F784" s="360"/>
      <c r="G784" s="360"/>
      <c r="H784" s="360"/>
      <c r="I784" s="360"/>
      <c r="J784" s="360"/>
      <c r="K784" s="352" t="s">
        <v>61</v>
      </c>
      <c r="L784" s="398" t="s">
        <v>242</v>
      </c>
    </row>
    <row r="785" spans="1:15" ht="25.2" customHeight="1" x14ac:dyDescent="0.4">
      <c r="A785" s="661"/>
      <c r="B785" s="400" t="s">
        <v>390</v>
      </c>
      <c r="C785" s="364"/>
      <c r="D785" s="364"/>
      <c r="E785" s="360">
        <v>4600</v>
      </c>
      <c r="F785" s="360"/>
      <c r="G785" s="360"/>
      <c r="H785" s="360"/>
      <c r="I785" s="360"/>
      <c r="J785" s="360"/>
      <c r="K785" s="352" t="s">
        <v>446</v>
      </c>
      <c r="L785" s="398" t="s">
        <v>296</v>
      </c>
    </row>
    <row r="786" spans="1:15" ht="25.2" customHeight="1" x14ac:dyDescent="0.4">
      <c r="A786" s="649"/>
      <c r="B786" s="400" t="s">
        <v>390</v>
      </c>
      <c r="C786" s="364"/>
      <c r="D786" s="364"/>
      <c r="E786" s="360"/>
      <c r="F786" s="382">
        <f>O786*N786/9</f>
        <v>8995.3722222222223</v>
      </c>
      <c r="G786" s="360"/>
      <c r="H786" s="360"/>
      <c r="I786" s="360"/>
      <c r="J786" s="360"/>
      <c r="K786" s="352"/>
      <c r="L786" s="398" t="s">
        <v>463</v>
      </c>
      <c r="N786" s="1">
        <v>55</v>
      </c>
      <c r="O786" s="366">
        <v>1471.97</v>
      </c>
    </row>
    <row r="787" spans="1:15" ht="25.2" customHeight="1" x14ac:dyDescent="0.4">
      <c r="A787" s="662" t="s">
        <v>17</v>
      </c>
      <c r="B787" s="662"/>
      <c r="C787" s="360">
        <f>SUM(C779:C786)</f>
        <v>0</v>
      </c>
      <c r="D787" s="360">
        <f>SUM(D779:D786)</f>
        <v>0</v>
      </c>
      <c r="E787" s="360">
        <f>SUM(E779:E786)</f>
        <v>20000</v>
      </c>
      <c r="F787" s="360">
        <f>ROUNDDOWN(SUM(F779:F786),0)</f>
        <v>17990</v>
      </c>
      <c r="G787" s="360" t="e">
        <f>SUM(#REF!)</f>
        <v>#REF!</v>
      </c>
      <c r="H787" s="360" t="e">
        <f>SUM(#REF!)</f>
        <v>#REF!</v>
      </c>
      <c r="I787" s="360">
        <f>SUM(I779:I786)</f>
        <v>0</v>
      </c>
      <c r="J787" s="360">
        <f>SUM(J779:J786)</f>
        <v>0</v>
      </c>
      <c r="K787" s="352" t="s">
        <v>271</v>
      </c>
      <c r="L787" s="398" t="s">
        <v>445</v>
      </c>
    </row>
    <row r="788" spans="1:15" ht="25.2" customHeight="1" x14ac:dyDescent="0.4">
      <c r="A788" s="659" t="s">
        <v>18</v>
      </c>
      <c r="B788" s="659"/>
      <c r="C788" s="657">
        <f>C787+D787+E787+F787+I787+J787</f>
        <v>37990</v>
      </c>
      <c r="D788" s="657"/>
      <c r="E788" s="657"/>
      <c r="F788" s="657"/>
      <c r="G788" s="657"/>
      <c r="H788" s="657"/>
      <c r="I788" s="657"/>
      <c r="J788" s="657"/>
      <c r="K788" s="401"/>
      <c r="L788" s="399"/>
    </row>
    <row r="792" spans="1:15" ht="25.2" customHeight="1" x14ac:dyDescent="0.4">
      <c r="A792" s="6" t="s">
        <v>0</v>
      </c>
      <c r="B792" s="6" t="s">
        <v>1</v>
      </c>
      <c r="C792" s="6" t="s">
        <v>4</v>
      </c>
      <c r="D792" s="6" t="s">
        <v>287</v>
      </c>
      <c r="E792" s="6" t="s">
        <v>74</v>
      </c>
      <c r="F792" s="6" t="s">
        <v>3</v>
      </c>
      <c r="G792" s="6" t="s">
        <v>4</v>
      </c>
      <c r="H792" s="6" t="s">
        <v>5</v>
      </c>
      <c r="I792" s="6" t="s">
        <v>401</v>
      </c>
      <c r="J792" s="6" t="s">
        <v>7</v>
      </c>
      <c r="K792" s="6" t="s">
        <v>60</v>
      </c>
      <c r="L792" s="6" t="s">
        <v>8</v>
      </c>
    </row>
    <row r="793" spans="1:15" ht="25.2" customHeight="1" x14ac:dyDescent="0.4">
      <c r="A793" s="404">
        <v>45119</v>
      </c>
      <c r="B793" s="403" t="s">
        <v>390</v>
      </c>
      <c r="C793" s="364"/>
      <c r="D793" s="364"/>
      <c r="E793" s="360">
        <v>27500</v>
      </c>
      <c r="F793" s="360"/>
      <c r="G793" s="360"/>
      <c r="H793" s="360"/>
      <c r="I793" s="360"/>
      <c r="J793" s="360"/>
      <c r="K793" s="352" t="s">
        <v>467</v>
      </c>
      <c r="L793" s="405" t="s">
        <v>184</v>
      </c>
    </row>
    <row r="794" spans="1:15" ht="25.2" customHeight="1" x14ac:dyDescent="0.4">
      <c r="A794" s="662" t="s">
        <v>17</v>
      </c>
      <c r="B794" s="662"/>
      <c r="C794" s="360">
        <f>SUM(C793:C793)</f>
        <v>0</v>
      </c>
      <c r="D794" s="360">
        <f>SUM(D793:D793)</f>
        <v>0</v>
      </c>
      <c r="E794" s="360">
        <f>SUM(E793:E793)</f>
        <v>27500</v>
      </c>
      <c r="F794" s="360">
        <f>ROUNDDOWN(SUM(F793:F793),0)</f>
        <v>0</v>
      </c>
      <c r="G794" s="360" t="e">
        <f>SUM(#REF!)</f>
        <v>#REF!</v>
      </c>
      <c r="H794" s="360" t="e">
        <f>SUM(#REF!)</f>
        <v>#REF!</v>
      </c>
      <c r="I794" s="360">
        <f>SUM(I793:I793)</f>
        <v>0</v>
      </c>
      <c r="J794" s="360">
        <f>SUM(J793:J793)</f>
        <v>0</v>
      </c>
      <c r="K794" s="352" t="s">
        <v>271</v>
      </c>
      <c r="L794" s="405" t="s">
        <v>271</v>
      </c>
    </row>
    <row r="795" spans="1:15" ht="25.2" customHeight="1" x14ac:dyDescent="0.4">
      <c r="A795" s="659" t="s">
        <v>18</v>
      </c>
      <c r="B795" s="659"/>
      <c r="C795" s="657">
        <f>C794+D794+E794+F794+I794+J794</f>
        <v>27500</v>
      </c>
      <c r="D795" s="657"/>
      <c r="E795" s="657"/>
      <c r="F795" s="657"/>
      <c r="G795" s="657"/>
      <c r="H795" s="657"/>
      <c r="I795" s="657"/>
      <c r="J795" s="657"/>
      <c r="K795" s="406"/>
      <c r="L795" s="402"/>
    </row>
    <row r="798" spans="1:15" ht="25.2" customHeight="1" x14ac:dyDescent="0.4">
      <c r="A798" s="6" t="s">
        <v>0</v>
      </c>
      <c r="B798" s="6" t="s">
        <v>1</v>
      </c>
      <c r="C798" s="6" t="s">
        <v>4</v>
      </c>
      <c r="D798" s="6" t="s">
        <v>287</v>
      </c>
      <c r="E798" s="6" t="s">
        <v>74</v>
      </c>
      <c r="F798" s="6" t="s">
        <v>3</v>
      </c>
      <c r="G798" s="6" t="s">
        <v>4</v>
      </c>
      <c r="H798" s="6" t="s">
        <v>5</v>
      </c>
      <c r="I798" s="6" t="s">
        <v>471</v>
      </c>
      <c r="J798" s="6" t="s">
        <v>7</v>
      </c>
      <c r="K798" s="6" t="s">
        <v>60</v>
      </c>
      <c r="L798" s="6" t="s">
        <v>8</v>
      </c>
    </row>
    <row r="799" spans="1:15" ht="25.2" customHeight="1" x14ac:dyDescent="0.4">
      <c r="A799" s="648">
        <v>45128</v>
      </c>
      <c r="B799" s="410" t="s">
        <v>390</v>
      </c>
      <c r="C799" s="364"/>
      <c r="D799" s="364"/>
      <c r="E799" s="360">
        <v>3600</v>
      </c>
      <c r="F799" s="360"/>
      <c r="G799" s="360"/>
      <c r="H799" s="360"/>
      <c r="I799" s="360"/>
      <c r="J799" s="360"/>
      <c r="K799" s="352" t="s">
        <v>61</v>
      </c>
      <c r="L799" s="408" t="s">
        <v>469</v>
      </c>
    </row>
    <row r="800" spans="1:15" ht="25.2" customHeight="1" x14ac:dyDescent="0.4">
      <c r="A800" s="661"/>
      <c r="B800" s="410" t="s">
        <v>390</v>
      </c>
      <c r="C800" s="364"/>
      <c r="D800" s="364"/>
      <c r="E800" s="360">
        <v>8600</v>
      </c>
      <c r="F800" s="360"/>
      <c r="G800" s="360"/>
      <c r="H800" s="360"/>
      <c r="I800" s="360"/>
      <c r="J800" s="360"/>
      <c r="K800" s="352" t="s">
        <v>62</v>
      </c>
      <c r="L800" s="408" t="s">
        <v>296</v>
      </c>
    </row>
    <row r="801" spans="1:15" ht="25.2" customHeight="1" x14ac:dyDescent="0.4">
      <c r="A801" s="649"/>
      <c r="B801" s="410" t="s">
        <v>390</v>
      </c>
      <c r="C801" s="364"/>
      <c r="D801" s="364"/>
      <c r="E801" s="360"/>
      <c r="F801" s="382">
        <f>O801*N801/9</f>
        <v>8521.8222222222212</v>
      </c>
      <c r="G801" s="360"/>
      <c r="H801" s="360"/>
      <c r="I801" s="360"/>
      <c r="J801" s="360"/>
      <c r="K801" s="352" t="s">
        <v>478</v>
      </c>
      <c r="L801" s="408" t="s">
        <v>475</v>
      </c>
      <c r="N801" s="1">
        <v>55</v>
      </c>
      <c r="O801" s="366">
        <v>1394.48</v>
      </c>
    </row>
    <row r="802" spans="1:15" ht="25.2" customHeight="1" x14ac:dyDescent="0.4">
      <c r="A802" s="648">
        <v>45133</v>
      </c>
      <c r="B802" s="410" t="s">
        <v>390</v>
      </c>
      <c r="C802" s="364"/>
      <c r="D802" s="364"/>
      <c r="E802" s="360">
        <v>2700</v>
      </c>
      <c r="F802" s="360"/>
      <c r="G802" s="360"/>
      <c r="H802" s="360"/>
      <c r="I802" s="360"/>
      <c r="J802" s="360"/>
      <c r="K802" s="352" t="s">
        <v>476</v>
      </c>
      <c r="L802" s="408" t="s">
        <v>470</v>
      </c>
    </row>
    <row r="803" spans="1:15" ht="25.2" customHeight="1" x14ac:dyDescent="0.4">
      <c r="A803" s="649"/>
      <c r="B803" s="410" t="s">
        <v>390</v>
      </c>
      <c r="C803" s="364"/>
      <c r="D803" s="364"/>
      <c r="E803" s="360"/>
      <c r="F803" s="382">
        <f>O803*N803/9</f>
        <v>10226.186666666668</v>
      </c>
      <c r="G803" s="360"/>
      <c r="H803" s="360"/>
      <c r="I803" s="360"/>
      <c r="J803" s="360"/>
      <c r="K803" s="352" t="s">
        <v>479</v>
      </c>
      <c r="L803" s="408" t="s">
        <v>475</v>
      </c>
      <c r="N803" s="1">
        <v>66</v>
      </c>
      <c r="O803" s="366">
        <f>O801</f>
        <v>1394.48</v>
      </c>
    </row>
    <row r="804" spans="1:15" ht="25.2" customHeight="1" x14ac:dyDescent="0.4">
      <c r="A804" s="648">
        <v>45135</v>
      </c>
      <c r="B804" s="410" t="s">
        <v>390</v>
      </c>
      <c r="C804" s="364"/>
      <c r="D804" s="364"/>
      <c r="E804" s="360">
        <v>3800</v>
      </c>
      <c r="F804" s="360"/>
      <c r="G804" s="360"/>
      <c r="H804" s="360"/>
      <c r="I804" s="360"/>
      <c r="J804" s="360"/>
      <c r="K804" s="352" t="s">
        <v>85</v>
      </c>
      <c r="L804" s="408" t="s">
        <v>296</v>
      </c>
    </row>
    <row r="805" spans="1:15" ht="25.2" customHeight="1" x14ac:dyDescent="0.4">
      <c r="A805" s="661"/>
      <c r="B805" s="410" t="s">
        <v>390</v>
      </c>
      <c r="C805" s="364"/>
      <c r="D805" s="364"/>
      <c r="E805" s="360"/>
      <c r="F805" s="360"/>
      <c r="G805" s="360"/>
      <c r="H805" s="360"/>
      <c r="I805" s="360">
        <v>6710</v>
      </c>
      <c r="J805" s="360"/>
      <c r="K805" s="352" t="s">
        <v>477</v>
      </c>
      <c r="L805" s="408" t="s">
        <v>472</v>
      </c>
    </row>
    <row r="806" spans="1:15" ht="25.2" customHeight="1" x14ac:dyDescent="0.4">
      <c r="A806" s="649"/>
      <c r="B806" s="410" t="s">
        <v>390</v>
      </c>
      <c r="C806" s="364"/>
      <c r="D806" s="364"/>
      <c r="E806" s="360"/>
      <c r="F806" s="382">
        <f>O806*N806/9</f>
        <v>8521.8222222222212</v>
      </c>
      <c r="G806" s="360"/>
      <c r="H806" s="360"/>
      <c r="I806" s="360"/>
      <c r="J806" s="360"/>
      <c r="K806" s="352" t="s">
        <v>479</v>
      </c>
      <c r="L806" s="408" t="s">
        <v>474</v>
      </c>
      <c r="N806" s="1">
        <v>55</v>
      </c>
      <c r="O806" s="366">
        <f>O803</f>
        <v>1394.48</v>
      </c>
    </row>
    <row r="807" spans="1:15" ht="25.2" customHeight="1" x14ac:dyDescent="0.4">
      <c r="A807" s="662" t="s">
        <v>17</v>
      </c>
      <c r="B807" s="662"/>
      <c r="C807" s="360">
        <f>SUM(C799:C806)</f>
        <v>0</v>
      </c>
      <c r="D807" s="360">
        <f>SUM(D799:D806)</f>
        <v>0</v>
      </c>
      <c r="E807" s="360">
        <f>SUM(E799:E806)</f>
        <v>18700</v>
      </c>
      <c r="F807" s="360">
        <f>ROUNDDOWN(SUM(F799:F806),0)</f>
        <v>27269</v>
      </c>
      <c r="G807" s="360" t="e">
        <f>SUM(#REF!)</f>
        <v>#REF!</v>
      </c>
      <c r="H807" s="360" t="e">
        <f>SUM(#REF!)</f>
        <v>#REF!</v>
      </c>
      <c r="I807" s="360">
        <f>SUM(I799:I806)</f>
        <v>6710</v>
      </c>
      <c r="J807" s="360">
        <f>SUM(J799:J806)</f>
        <v>0</v>
      </c>
      <c r="K807" s="352" t="s">
        <v>271</v>
      </c>
      <c r="L807" s="408" t="s">
        <v>473</v>
      </c>
    </row>
    <row r="808" spans="1:15" ht="25.2" customHeight="1" x14ac:dyDescent="0.4">
      <c r="A808" s="659" t="s">
        <v>18</v>
      </c>
      <c r="B808" s="659"/>
      <c r="C808" s="657">
        <f>C807+D807+E807+F807+I807+J807</f>
        <v>52679</v>
      </c>
      <c r="D808" s="657"/>
      <c r="E808" s="657"/>
      <c r="F808" s="657"/>
      <c r="G808" s="657"/>
      <c r="H808" s="657"/>
      <c r="I808" s="657"/>
      <c r="J808" s="657"/>
      <c r="K808" s="411"/>
      <c r="L808" s="409"/>
    </row>
    <row r="810" spans="1:15" ht="25.2" customHeight="1" x14ac:dyDescent="0.4">
      <c r="A810" s="6" t="s">
        <v>0</v>
      </c>
      <c r="B810" s="6" t="s">
        <v>1</v>
      </c>
      <c r="C810" s="6" t="s">
        <v>4</v>
      </c>
      <c r="D810" s="6" t="s">
        <v>287</v>
      </c>
      <c r="E810" s="6" t="s">
        <v>74</v>
      </c>
      <c r="F810" s="6" t="s">
        <v>3</v>
      </c>
      <c r="G810" s="6" t="s">
        <v>4</v>
      </c>
      <c r="H810" s="6" t="s">
        <v>5</v>
      </c>
      <c r="I810" s="6" t="s">
        <v>471</v>
      </c>
      <c r="J810" s="6" t="s">
        <v>7</v>
      </c>
      <c r="K810" s="6" t="s">
        <v>60</v>
      </c>
      <c r="L810" s="6" t="s">
        <v>8</v>
      </c>
    </row>
    <row r="811" spans="1:15" ht="25.2" customHeight="1" x14ac:dyDescent="0.4">
      <c r="A811" s="648">
        <v>45139</v>
      </c>
      <c r="B811" s="414" t="s">
        <v>390</v>
      </c>
      <c r="C811" s="364"/>
      <c r="D811" s="364"/>
      <c r="E811" s="360">
        <f>1800+1800</f>
        <v>3600</v>
      </c>
      <c r="F811" s="360"/>
      <c r="G811" s="360"/>
      <c r="H811" s="360"/>
      <c r="I811" s="360"/>
      <c r="J811" s="360"/>
      <c r="K811" s="352" t="s">
        <v>481</v>
      </c>
      <c r="L811" s="412" t="s">
        <v>470</v>
      </c>
    </row>
    <row r="812" spans="1:15" ht="25.2" customHeight="1" x14ac:dyDescent="0.4">
      <c r="A812" s="649"/>
      <c r="B812" s="414" t="s">
        <v>390</v>
      </c>
      <c r="C812" s="364"/>
      <c r="D812" s="364"/>
      <c r="E812" s="360"/>
      <c r="F812" s="382">
        <f>O812*N812/9</f>
        <v>10240.853333333334</v>
      </c>
      <c r="G812" s="360"/>
      <c r="H812" s="360"/>
      <c r="I812" s="360"/>
      <c r="J812" s="360"/>
      <c r="K812" s="352" t="s">
        <v>479</v>
      </c>
      <c r="L812" s="412" t="s">
        <v>480</v>
      </c>
      <c r="N812" s="1">
        <v>66</v>
      </c>
      <c r="O812" s="366">
        <v>1396.48</v>
      </c>
    </row>
    <row r="813" spans="1:15" ht="25.2" customHeight="1" x14ac:dyDescent="0.4">
      <c r="A813" s="648">
        <v>45142</v>
      </c>
      <c r="B813" s="414" t="s">
        <v>390</v>
      </c>
      <c r="C813" s="364"/>
      <c r="D813" s="364"/>
      <c r="E813" s="360">
        <f>1800+1200</f>
        <v>3000</v>
      </c>
      <c r="F813" s="360"/>
      <c r="G813" s="360"/>
      <c r="H813" s="360"/>
      <c r="I813" s="360"/>
      <c r="J813" s="360"/>
      <c r="K813" s="352" t="s">
        <v>482</v>
      </c>
      <c r="L813" s="412" t="s">
        <v>470</v>
      </c>
    </row>
    <row r="814" spans="1:15" ht="25.2" customHeight="1" x14ac:dyDescent="0.4">
      <c r="A814" s="649"/>
      <c r="B814" s="414" t="s">
        <v>390</v>
      </c>
      <c r="C814" s="364"/>
      <c r="D814" s="364"/>
      <c r="E814" s="360"/>
      <c r="F814" s="382">
        <f>O814*N814/9</f>
        <v>10240.853333333334</v>
      </c>
      <c r="G814" s="360"/>
      <c r="H814" s="360"/>
      <c r="I814" s="360"/>
      <c r="J814" s="360"/>
      <c r="K814" s="352" t="s">
        <v>479</v>
      </c>
      <c r="L814" s="412" t="s">
        <v>480</v>
      </c>
      <c r="N814" s="1">
        <v>66</v>
      </c>
      <c r="O814" s="366">
        <v>1396.48</v>
      </c>
    </row>
    <row r="815" spans="1:15" ht="25.2" customHeight="1" x14ac:dyDescent="0.4">
      <c r="A815" s="662" t="s">
        <v>17</v>
      </c>
      <c r="B815" s="662"/>
      <c r="C815" s="360">
        <f>SUM(C811:C814)</f>
        <v>0</v>
      </c>
      <c r="D815" s="360">
        <f>SUM(D811:D814)</f>
        <v>0</v>
      </c>
      <c r="E815" s="360">
        <f>SUM(E811:E814)</f>
        <v>6600</v>
      </c>
      <c r="F815" s="360">
        <f>ROUNDDOWN(SUM(F811:F814),0)</f>
        <v>20481</v>
      </c>
      <c r="G815" s="360" t="e">
        <f>SUM(#REF!)</f>
        <v>#REF!</v>
      </c>
      <c r="H815" s="360" t="e">
        <f>SUM(#REF!)</f>
        <v>#REF!</v>
      </c>
      <c r="I815" s="360">
        <f>SUM(I811:I814)</f>
        <v>0</v>
      </c>
      <c r="J815" s="360">
        <f>SUM(J811:J814)</f>
        <v>0</v>
      </c>
      <c r="K815" s="352" t="s">
        <v>271</v>
      </c>
      <c r="L815" s="412" t="s">
        <v>473</v>
      </c>
    </row>
    <row r="816" spans="1:15" ht="25.2" customHeight="1" x14ac:dyDescent="0.4">
      <c r="A816" s="659" t="s">
        <v>18</v>
      </c>
      <c r="B816" s="659"/>
      <c r="C816" s="657">
        <f>C815+D815+E815+F815+I815+J815</f>
        <v>27081</v>
      </c>
      <c r="D816" s="657"/>
      <c r="E816" s="657"/>
      <c r="F816" s="657"/>
      <c r="G816" s="657"/>
      <c r="H816" s="657"/>
      <c r="I816" s="657"/>
      <c r="J816" s="657"/>
      <c r="K816" s="415"/>
      <c r="L816" s="413"/>
    </row>
    <row r="818" spans="1:16" ht="25.2" customHeight="1" x14ac:dyDescent="0.4">
      <c r="A818" s="6" t="s">
        <v>0</v>
      </c>
      <c r="B818" s="6" t="s">
        <v>1</v>
      </c>
      <c r="C818" s="6" t="s">
        <v>4</v>
      </c>
      <c r="D818" s="6" t="s">
        <v>287</v>
      </c>
      <c r="E818" s="6" t="s">
        <v>74</v>
      </c>
      <c r="F818" s="6" t="s">
        <v>3</v>
      </c>
      <c r="G818" s="6" t="s">
        <v>4</v>
      </c>
      <c r="H818" s="6" t="s">
        <v>5</v>
      </c>
      <c r="I818" s="6" t="s">
        <v>471</v>
      </c>
      <c r="J818" s="6" t="s">
        <v>7</v>
      </c>
      <c r="K818" s="6" t="s">
        <v>60</v>
      </c>
      <c r="L818" s="6" t="s">
        <v>8</v>
      </c>
      <c r="O818" s="43"/>
    </row>
    <row r="819" spans="1:16" ht="25.2" customHeight="1" x14ac:dyDescent="0.4">
      <c r="A819" s="648">
        <v>45173</v>
      </c>
      <c r="B819" s="418" t="s">
        <v>390</v>
      </c>
      <c r="C819" s="364"/>
      <c r="D819" s="364"/>
      <c r="E819" s="360">
        <f>1800+1800</f>
        <v>3600</v>
      </c>
      <c r="F819" s="360"/>
      <c r="G819" s="360"/>
      <c r="H819" s="360"/>
      <c r="I819" s="360"/>
      <c r="J819" s="360"/>
      <c r="K819" s="352" t="s">
        <v>483</v>
      </c>
      <c r="L819" s="416" t="s">
        <v>470</v>
      </c>
    </row>
    <row r="820" spans="1:16" ht="25.2" customHeight="1" x14ac:dyDescent="0.4">
      <c r="A820" s="649"/>
      <c r="B820" s="418" t="s">
        <v>390</v>
      </c>
      <c r="C820" s="364"/>
      <c r="D820" s="364"/>
      <c r="E820" s="360"/>
      <c r="F820" s="382">
        <f>O820*N820/9</f>
        <v>11536.506666666668</v>
      </c>
      <c r="G820" s="360"/>
      <c r="H820" s="360"/>
      <c r="I820" s="360"/>
      <c r="J820" s="360"/>
      <c r="K820" s="352" t="s">
        <v>383</v>
      </c>
      <c r="L820" s="416" t="s">
        <v>474</v>
      </c>
      <c r="N820" s="1">
        <v>66</v>
      </c>
      <c r="O820" s="366">
        <v>1573.16</v>
      </c>
    </row>
    <row r="821" spans="1:16" ht="25.2" customHeight="1" x14ac:dyDescent="0.4">
      <c r="A821" s="648">
        <v>45180</v>
      </c>
      <c r="B821" s="418" t="s">
        <v>390</v>
      </c>
      <c r="C821" s="364"/>
      <c r="D821" s="364"/>
      <c r="E821" s="360">
        <f>1800+1600</f>
        <v>3400</v>
      </c>
      <c r="F821" s="360"/>
      <c r="G821" s="360"/>
      <c r="H821" s="360"/>
      <c r="I821" s="360"/>
      <c r="J821" s="360"/>
      <c r="K821" s="352" t="s">
        <v>204</v>
      </c>
      <c r="L821" s="416" t="s">
        <v>470</v>
      </c>
    </row>
    <row r="822" spans="1:16" ht="25.2" customHeight="1" x14ac:dyDescent="0.4">
      <c r="A822" s="661"/>
      <c r="B822" s="418" t="s">
        <v>390</v>
      </c>
      <c r="C822" s="364"/>
      <c r="D822" s="364">
        <v>7600</v>
      </c>
      <c r="E822" s="360"/>
      <c r="F822" s="360"/>
      <c r="G822" s="360"/>
      <c r="H822" s="360"/>
      <c r="I822" s="360"/>
      <c r="J822" s="360"/>
      <c r="K822" s="352" t="s">
        <v>484</v>
      </c>
      <c r="L822" s="416" t="s">
        <v>296</v>
      </c>
    </row>
    <row r="823" spans="1:16" ht="25.2" customHeight="1" x14ac:dyDescent="0.4">
      <c r="A823" s="649"/>
      <c r="B823" s="418" t="s">
        <v>390</v>
      </c>
      <c r="C823" s="364"/>
      <c r="D823" s="364"/>
      <c r="E823" s="360"/>
      <c r="F823" s="382">
        <f>O823*N823/9</f>
        <v>11536.506666666668</v>
      </c>
      <c r="G823" s="360"/>
      <c r="H823" s="360"/>
      <c r="I823" s="360"/>
      <c r="J823" s="360"/>
      <c r="K823" s="352" t="s">
        <v>383</v>
      </c>
      <c r="L823" s="416" t="s">
        <v>474</v>
      </c>
      <c r="N823" s="1">
        <v>66</v>
      </c>
      <c r="O823" s="366">
        <f>O820</f>
        <v>1573.16</v>
      </c>
    </row>
    <row r="824" spans="1:16" ht="25.2" customHeight="1" x14ac:dyDescent="0.4">
      <c r="A824" s="648">
        <v>45194</v>
      </c>
      <c r="B824" s="418" t="s">
        <v>390</v>
      </c>
      <c r="C824" s="364"/>
      <c r="D824" s="364"/>
      <c r="E824" s="360">
        <f>1800+1600</f>
        <v>3400</v>
      </c>
      <c r="F824" s="360"/>
      <c r="G824" s="360"/>
      <c r="H824" s="360"/>
      <c r="I824" s="360"/>
      <c r="J824" s="360"/>
      <c r="K824" s="352" t="s">
        <v>204</v>
      </c>
      <c r="L824" s="416" t="s">
        <v>470</v>
      </c>
    </row>
    <row r="825" spans="1:16" ht="25.2" customHeight="1" x14ac:dyDescent="0.4">
      <c r="A825" s="661"/>
      <c r="B825" s="418" t="s">
        <v>390</v>
      </c>
      <c r="C825" s="364"/>
      <c r="D825" s="364">
        <v>8600</v>
      </c>
      <c r="E825" s="360"/>
      <c r="F825" s="360"/>
      <c r="G825" s="360"/>
      <c r="H825" s="360"/>
      <c r="I825" s="360"/>
      <c r="J825" s="360"/>
      <c r="K825" s="352" t="s">
        <v>486</v>
      </c>
      <c r="L825" s="416" t="s">
        <v>296</v>
      </c>
    </row>
    <row r="826" spans="1:16" ht="25.2" customHeight="1" x14ac:dyDescent="0.4">
      <c r="A826" s="649"/>
      <c r="B826" s="418" t="s">
        <v>390</v>
      </c>
      <c r="C826" s="364"/>
      <c r="D826" s="364"/>
      <c r="E826" s="360"/>
      <c r="F826" s="382">
        <f>O826*N826/9</f>
        <v>11536.506666666668</v>
      </c>
      <c r="G826" s="360"/>
      <c r="H826" s="360"/>
      <c r="I826" s="360"/>
      <c r="J826" s="360"/>
      <c r="K826" s="352" t="s">
        <v>383</v>
      </c>
      <c r="L826" s="416" t="s">
        <v>474</v>
      </c>
      <c r="N826" s="1">
        <v>66</v>
      </c>
      <c r="O826" s="366">
        <f>O823</f>
        <v>1573.16</v>
      </c>
    </row>
    <row r="827" spans="1:16" ht="25.2" customHeight="1" x14ac:dyDescent="0.4">
      <c r="A827" s="662" t="s">
        <v>17</v>
      </c>
      <c r="B827" s="662"/>
      <c r="C827" s="360">
        <f>SUM(C819:C826)</f>
        <v>0</v>
      </c>
      <c r="D827" s="360">
        <f>SUM(D819:D826)</f>
        <v>16200</v>
      </c>
      <c r="E827" s="360">
        <f>SUM(E819:E826)</f>
        <v>10400</v>
      </c>
      <c r="F827" s="360">
        <f>ROUNDDOWN(SUM(F819:F826),0)</f>
        <v>34609</v>
      </c>
      <c r="G827" s="360" t="e">
        <f>SUM(#REF!)</f>
        <v>#REF!</v>
      </c>
      <c r="H827" s="360" t="e">
        <f>SUM(#REF!)</f>
        <v>#REF!</v>
      </c>
      <c r="I827" s="360">
        <f>SUM(I819:I826)</f>
        <v>0</v>
      </c>
      <c r="J827" s="360">
        <f>SUM(J819:J826)</f>
        <v>0</v>
      </c>
      <c r="K827" s="352" t="s">
        <v>487</v>
      </c>
      <c r="L827" s="416" t="s">
        <v>485</v>
      </c>
    </row>
    <row r="828" spans="1:16" ht="25.2" customHeight="1" x14ac:dyDescent="0.4">
      <c r="A828" s="659" t="s">
        <v>18</v>
      </c>
      <c r="B828" s="659"/>
      <c r="C828" s="657">
        <f>C827+D827+E827+F827+I827+J827</f>
        <v>61209</v>
      </c>
      <c r="D828" s="657"/>
      <c r="E828" s="657"/>
      <c r="F828" s="657"/>
      <c r="G828" s="657"/>
      <c r="H828" s="657"/>
      <c r="I828" s="657"/>
      <c r="J828" s="657"/>
      <c r="K828" s="419"/>
      <c r="L828" s="417"/>
    </row>
    <row r="830" spans="1:16" ht="25.2" customHeight="1" x14ac:dyDescent="0.4">
      <c r="A830" s="6" t="s">
        <v>0</v>
      </c>
      <c r="B830" s="6" t="s">
        <v>1</v>
      </c>
      <c r="C830" s="6" t="s">
        <v>4</v>
      </c>
      <c r="D830" s="6" t="s">
        <v>287</v>
      </c>
      <c r="E830" s="6" t="s">
        <v>74</v>
      </c>
      <c r="F830" s="6" t="s">
        <v>3</v>
      </c>
      <c r="G830" s="6" t="s">
        <v>4</v>
      </c>
      <c r="H830" s="6" t="s">
        <v>5</v>
      </c>
      <c r="I830" s="6" t="s">
        <v>471</v>
      </c>
      <c r="J830" s="6" t="s">
        <v>7</v>
      </c>
      <c r="K830" s="6" t="s">
        <v>60</v>
      </c>
      <c r="L830" s="6" t="s">
        <v>8</v>
      </c>
      <c r="O830" s="43"/>
    </row>
    <row r="831" spans="1:16" ht="25.2" customHeight="1" x14ac:dyDescent="0.4">
      <c r="A831" s="648">
        <v>45212</v>
      </c>
      <c r="B831" s="422" t="s">
        <v>390</v>
      </c>
      <c r="C831" s="364"/>
      <c r="D831" s="364"/>
      <c r="E831" s="360">
        <f>5600+5600</f>
        <v>11200</v>
      </c>
      <c r="F831" s="360"/>
      <c r="G831" s="360"/>
      <c r="H831" s="360"/>
      <c r="I831" s="360"/>
      <c r="J831" s="360"/>
      <c r="K831" s="352" t="s">
        <v>61</v>
      </c>
      <c r="L831" s="420" t="s">
        <v>470</v>
      </c>
      <c r="P831" s="43"/>
    </row>
    <row r="832" spans="1:16" ht="25.2" customHeight="1" x14ac:dyDescent="0.4">
      <c r="A832" s="661"/>
      <c r="B832" s="422" t="s">
        <v>390</v>
      </c>
      <c r="C832" s="364"/>
      <c r="D832" s="364"/>
      <c r="E832" s="360"/>
      <c r="F832" s="360"/>
      <c r="G832" s="360"/>
      <c r="H832" s="360"/>
      <c r="I832" s="360"/>
      <c r="J832" s="360">
        <v>7800</v>
      </c>
      <c r="K832" s="352" t="s">
        <v>497</v>
      </c>
      <c r="L832" s="420" t="s">
        <v>494</v>
      </c>
      <c r="P832" s="43"/>
    </row>
    <row r="833" spans="1:16" ht="25.2" customHeight="1" x14ac:dyDescent="0.4">
      <c r="A833" s="649"/>
      <c r="B833" s="422" t="s">
        <v>390</v>
      </c>
      <c r="C833" s="364"/>
      <c r="D833" s="364"/>
      <c r="E833" s="360"/>
      <c r="F833" s="382">
        <f>O833*N833/9</f>
        <v>47218.35</v>
      </c>
      <c r="G833" s="360"/>
      <c r="H833" s="360"/>
      <c r="I833" s="360"/>
      <c r="J833" s="360"/>
      <c r="K833" s="352" t="s">
        <v>63</v>
      </c>
      <c r="L833" s="420" t="s">
        <v>490</v>
      </c>
      <c r="N833" s="1">
        <v>255</v>
      </c>
      <c r="O833" s="366">
        <v>1666.53</v>
      </c>
    </row>
    <row r="834" spans="1:16" ht="25.2" customHeight="1" x14ac:dyDescent="0.4">
      <c r="A834" s="648">
        <v>45215</v>
      </c>
      <c r="B834" s="422" t="s">
        <v>390</v>
      </c>
      <c r="C834" s="364"/>
      <c r="D834" s="364"/>
      <c r="E834" s="360">
        <f>1800+1600</f>
        <v>3400</v>
      </c>
      <c r="F834" s="360"/>
      <c r="G834" s="360"/>
      <c r="H834" s="360"/>
      <c r="I834" s="360"/>
      <c r="J834" s="360"/>
      <c r="K834" s="352" t="s">
        <v>61</v>
      </c>
      <c r="L834" s="420" t="s">
        <v>470</v>
      </c>
    </row>
    <row r="835" spans="1:16" ht="25.2" customHeight="1" x14ac:dyDescent="0.4">
      <c r="A835" s="649"/>
      <c r="B835" s="422" t="s">
        <v>390</v>
      </c>
      <c r="C835" s="364"/>
      <c r="D835" s="364"/>
      <c r="E835" s="360"/>
      <c r="F835" s="382">
        <f>O835*N835/9</f>
        <v>12221.22</v>
      </c>
      <c r="G835" s="360"/>
      <c r="H835" s="360"/>
      <c r="I835" s="360"/>
      <c r="J835" s="360"/>
      <c r="K835" s="352" t="s">
        <v>63</v>
      </c>
      <c r="L835" s="420" t="s">
        <v>474</v>
      </c>
      <c r="N835" s="1">
        <v>66</v>
      </c>
      <c r="O835" s="366">
        <f>O833</f>
        <v>1666.53</v>
      </c>
    </row>
    <row r="836" spans="1:16" ht="25.2" customHeight="1" x14ac:dyDescent="0.4">
      <c r="A836" s="648">
        <v>45224</v>
      </c>
      <c r="B836" s="422" t="s">
        <v>390</v>
      </c>
      <c r="C836" s="364"/>
      <c r="D836" s="364"/>
      <c r="E836" s="360">
        <f>1800+1600</f>
        <v>3400</v>
      </c>
      <c r="F836" s="360"/>
      <c r="G836" s="360"/>
      <c r="H836" s="360"/>
      <c r="I836" s="360"/>
      <c r="J836" s="360"/>
      <c r="K836" s="352" t="s">
        <v>61</v>
      </c>
      <c r="L836" s="420" t="s">
        <v>470</v>
      </c>
    </row>
    <row r="837" spans="1:16" ht="25.2" customHeight="1" x14ac:dyDescent="0.4">
      <c r="A837" s="661"/>
      <c r="B837" s="422" t="s">
        <v>390</v>
      </c>
      <c r="C837" s="364"/>
      <c r="D837" s="364">
        <v>3400</v>
      </c>
      <c r="E837" s="360"/>
      <c r="F837" s="360"/>
      <c r="G837" s="360"/>
      <c r="H837" s="360"/>
      <c r="I837" s="360"/>
      <c r="J837" s="360"/>
      <c r="K837" s="352" t="s">
        <v>498</v>
      </c>
      <c r="L837" s="420" t="s">
        <v>296</v>
      </c>
    </row>
    <row r="838" spans="1:16" ht="25.2" customHeight="1" x14ac:dyDescent="0.4">
      <c r="A838" s="649"/>
      <c r="B838" s="422" t="s">
        <v>390</v>
      </c>
      <c r="C838" s="364"/>
      <c r="D838" s="364"/>
      <c r="E838" s="360"/>
      <c r="F838" s="382">
        <f>O838*N838/9</f>
        <v>12221.22</v>
      </c>
      <c r="G838" s="360"/>
      <c r="H838" s="360"/>
      <c r="I838" s="360"/>
      <c r="J838" s="360"/>
      <c r="K838" s="352" t="s">
        <v>63</v>
      </c>
      <c r="L838" s="420" t="s">
        <v>474</v>
      </c>
      <c r="N838" s="1">
        <v>66</v>
      </c>
      <c r="O838" s="366">
        <f>O835</f>
        <v>1666.53</v>
      </c>
    </row>
    <row r="839" spans="1:16" ht="25.2" customHeight="1" x14ac:dyDescent="0.4">
      <c r="A839" s="648">
        <v>45225</v>
      </c>
      <c r="B839" s="422" t="s">
        <v>390</v>
      </c>
      <c r="C839" s="364"/>
      <c r="D839" s="364"/>
      <c r="E839" s="360">
        <f>2300+2300</f>
        <v>4600</v>
      </c>
      <c r="F839" s="360"/>
      <c r="G839" s="360"/>
      <c r="H839" s="360"/>
      <c r="I839" s="360"/>
      <c r="J839" s="360"/>
      <c r="K839" s="352" t="s">
        <v>61</v>
      </c>
      <c r="L839" s="420" t="s">
        <v>493</v>
      </c>
    </row>
    <row r="840" spans="1:16" ht="25.2" customHeight="1" x14ac:dyDescent="0.4">
      <c r="A840" s="661"/>
      <c r="B840" s="422" t="s">
        <v>390</v>
      </c>
      <c r="C840" s="364"/>
      <c r="D840" s="364"/>
      <c r="E840" s="360"/>
      <c r="F840" s="360"/>
      <c r="G840" s="360"/>
      <c r="H840" s="360"/>
      <c r="I840" s="360"/>
      <c r="J840" s="360">
        <v>6900</v>
      </c>
      <c r="K840" s="352" t="s">
        <v>66</v>
      </c>
      <c r="L840" s="420" t="s">
        <v>495</v>
      </c>
    </row>
    <row r="841" spans="1:16" ht="25.2" customHeight="1" x14ac:dyDescent="0.4">
      <c r="A841" s="661"/>
      <c r="B841" s="422" t="s">
        <v>390</v>
      </c>
      <c r="C841" s="364"/>
      <c r="D841" s="364"/>
      <c r="E841" s="360"/>
      <c r="F841" s="360"/>
      <c r="G841" s="360"/>
      <c r="H841" s="360"/>
      <c r="I841" s="360"/>
      <c r="J841" s="360">
        <v>7700</v>
      </c>
      <c r="K841" s="352" t="s">
        <v>499</v>
      </c>
      <c r="L841" s="420" t="s">
        <v>496</v>
      </c>
    </row>
    <row r="842" spans="1:16" ht="25.2" customHeight="1" x14ac:dyDescent="0.4">
      <c r="A842" s="661"/>
      <c r="B842" s="422" t="s">
        <v>390</v>
      </c>
      <c r="C842" s="364"/>
      <c r="D842" s="364">
        <v>9100</v>
      </c>
      <c r="E842" s="360"/>
      <c r="F842" s="360"/>
      <c r="G842" s="360"/>
      <c r="H842" s="360"/>
      <c r="I842" s="360"/>
      <c r="J842" s="360"/>
      <c r="K842" s="352" t="s">
        <v>500</v>
      </c>
      <c r="L842" s="420" t="s">
        <v>491</v>
      </c>
    </row>
    <row r="843" spans="1:16" ht="25.2" customHeight="1" x14ac:dyDescent="0.4">
      <c r="A843" s="661"/>
      <c r="B843" s="422" t="s">
        <v>390</v>
      </c>
      <c r="C843" s="364"/>
      <c r="D843" s="364"/>
      <c r="E843" s="360">
        <f>51300+51300</f>
        <v>102600</v>
      </c>
      <c r="F843" s="360"/>
      <c r="G843" s="360"/>
      <c r="H843" s="360"/>
      <c r="I843" s="360"/>
      <c r="J843" s="360"/>
      <c r="K843" s="352" t="s">
        <v>501</v>
      </c>
      <c r="L843" s="420" t="s">
        <v>492</v>
      </c>
      <c r="P843" s="43"/>
    </row>
    <row r="844" spans="1:16" ht="25.2" customHeight="1" x14ac:dyDescent="0.4">
      <c r="A844" s="649"/>
      <c r="B844" s="422" t="s">
        <v>390</v>
      </c>
      <c r="C844" s="364"/>
      <c r="D844" s="364"/>
      <c r="E844" s="360"/>
      <c r="F844" s="382">
        <f>O844*N844/9</f>
        <v>12221.22</v>
      </c>
      <c r="G844" s="360"/>
      <c r="H844" s="360"/>
      <c r="I844" s="360"/>
      <c r="J844" s="360"/>
      <c r="K844" s="352" t="s">
        <v>63</v>
      </c>
      <c r="L844" s="420" t="s">
        <v>474</v>
      </c>
      <c r="N844" s="1">
        <v>66</v>
      </c>
      <c r="O844" s="366">
        <f>O838</f>
        <v>1666.53</v>
      </c>
    </row>
    <row r="845" spans="1:16" ht="25.2" customHeight="1" x14ac:dyDescent="0.4">
      <c r="A845" s="648">
        <v>45229</v>
      </c>
      <c r="B845" s="422" t="s">
        <v>390</v>
      </c>
      <c r="C845" s="364"/>
      <c r="D845" s="364"/>
      <c r="E845" s="360">
        <f>1800+1600</f>
        <v>3400</v>
      </c>
      <c r="F845" s="360"/>
      <c r="G845" s="360"/>
      <c r="H845" s="360"/>
      <c r="I845" s="360"/>
      <c r="J845" s="360"/>
      <c r="K845" s="352" t="s">
        <v>61</v>
      </c>
      <c r="L845" s="420" t="s">
        <v>470</v>
      </c>
    </row>
    <row r="846" spans="1:16" ht="25.2" customHeight="1" x14ac:dyDescent="0.4">
      <c r="A846" s="661"/>
      <c r="B846" s="422" t="s">
        <v>390</v>
      </c>
      <c r="C846" s="364"/>
      <c r="D846" s="364">
        <v>7600</v>
      </c>
      <c r="E846" s="360"/>
      <c r="F846" s="360"/>
      <c r="G846" s="360"/>
      <c r="H846" s="360"/>
      <c r="I846" s="360"/>
      <c r="J846" s="360"/>
      <c r="K846" s="352" t="s">
        <v>502</v>
      </c>
      <c r="L846" s="420" t="s">
        <v>296</v>
      </c>
    </row>
    <row r="847" spans="1:16" ht="25.2" customHeight="1" x14ac:dyDescent="0.4">
      <c r="A847" s="649"/>
      <c r="B847" s="422" t="s">
        <v>390</v>
      </c>
      <c r="C847" s="364"/>
      <c r="D847" s="364"/>
      <c r="E847" s="360"/>
      <c r="F847" s="382">
        <f>O847*N847/9</f>
        <v>12961.9</v>
      </c>
      <c r="G847" s="360"/>
      <c r="H847" s="360"/>
      <c r="I847" s="360"/>
      <c r="J847" s="360"/>
      <c r="K847" s="352" t="s">
        <v>63</v>
      </c>
      <c r="L847" s="420" t="s">
        <v>175</v>
      </c>
      <c r="N847" s="1">
        <v>70</v>
      </c>
      <c r="O847" s="366">
        <f>O844</f>
        <v>1666.53</v>
      </c>
    </row>
    <row r="848" spans="1:16" ht="25.2" customHeight="1" x14ac:dyDescent="0.4">
      <c r="A848" s="662" t="s">
        <v>17</v>
      </c>
      <c r="B848" s="662"/>
      <c r="C848" s="360">
        <f>SUM(C831:C847)</f>
        <v>0</v>
      </c>
      <c r="D848" s="360">
        <f>SUM(D831:D847)</f>
        <v>20100</v>
      </c>
      <c r="E848" s="360">
        <f>SUM(E831:E847)</f>
        <v>128600</v>
      </c>
      <c r="F848" s="360">
        <f>ROUNDDOWN(SUM(F831:F847),0)</f>
        <v>96843</v>
      </c>
      <c r="G848" s="360" t="e">
        <f>SUM(#REF!)</f>
        <v>#REF!</v>
      </c>
      <c r="H848" s="360" t="e">
        <f>SUM(#REF!)</f>
        <v>#REF!</v>
      </c>
      <c r="I848" s="360">
        <f>SUM(I831:I847)</f>
        <v>0</v>
      </c>
      <c r="J848" s="360">
        <f>SUM(J831:J847)</f>
        <v>22400</v>
      </c>
      <c r="K848" s="352" t="s">
        <v>72</v>
      </c>
      <c r="L848" s="420" t="s">
        <v>489</v>
      </c>
    </row>
    <row r="849" spans="1:16" ht="25.2" customHeight="1" x14ac:dyDescent="0.4">
      <c r="A849" s="659" t="s">
        <v>18</v>
      </c>
      <c r="B849" s="659"/>
      <c r="C849" s="657">
        <f>C848+D848+E848+F848+I848+J848</f>
        <v>267943</v>
      </c>
      <c r="D849" s="657"/>
      <c r="E849" s="657"/>
      <c r="F849" s="657"/>
      <c r="G849" s="657"/>
      <c r="H849" s="657"/>
      <c r="I849" s="657"/>
      <c r="J849" s="657"/>
      <c r="K849" s="423"/>
      <c r="L849" s="421"/>
    </row>
    <row r="852" spans="1:16" ht="25.2" customHeight="1" x14ac:dyDescent="0.4">
      <c r="A852" s="6" t="s">
        <v>0</v>
      </c>
      <c r="B852" s="6" t="s">
        <v>1</v>
      </c>
      <c r="C852" s="6" t="s">
        <v>4</v>
      </c>
      <c r="D852" s="6" t="s">
        <v>287</v>
      </c>
      <c r="E852" s="6" t="s">
        <v>74</v>
      </c>
      <c r="F852" s="6" t="s">
        <v>3</v>
      </c>
      <c r="G852" s="6" t="s">
        <v>4</v>
      </c>
      <c r="H852" s="6" t="s">
        <v>5</v>
      </c>
      <c r="I852" s="6" t="s">
        <v>471</v>
      </c>
      <c r="J852" s="6" t="s">
        <v>7</v>
      </c>
      <c r="K852" s="6" t="s">
        <v>60</v>
      </c>
      <c r="L852" s="6" t="s">
        <v>8</v>
      </c>
      <c r="O852" s="43"/>
    </row>
    <row r="853" spans="1:16" ht="25.2" customHeight="1" x14ac:dyDescent="0.4">
      <c r="A853" s="648">
        <v>45232</v>
      </c>
      <c r="B853" s="426" t="s">
        <v>390</v>
      </c>
      <c r="C853" s="364"/>
      <c r="D853" s="364"/>
      <c r="E853" s="360">
        <f>3000+3000</f>
        <v>6000</v>
      </c>
      <c r="F853" s="360"/>
      <c r="G853" s="360"/>
      <c r="H853" s="360"/>
      <c r="I853" s="360"/>
      <c r="J853" s="360"/>
      <c r="K853" s="352" t="s">
        <v>61</v>
      </c>
      <c r="L853" s="424" t="s">
        <v>506</v>
      </c>
      <c r="P853" s="43"/>
    </row>
    <row r="854" spans="1:16" ht="25.2" customHeight="1" x14ac:dyDescent="0.4">
      <c r="A854" s="649"/>
      <c r="B854" s="426" t="s">
        <v>390</v>
      </c>
      <c r="C854" s="364"/>
      <c r="D854" s="364"/>
      <c r="E854" s="360"/>
      <c r="F854" s="382">
        <f>O854*N854/9</f>
        <v>24415.588888888888</v>
      </c>
      <c r="G854" s="360"/>
      <c r="H854" s="360"/>
      <c r="I854" s="360"/>
      <c r="J854" s="360"/>
      <c r="K854" s="352" t="s">
        <v>63</v>
      </c>
      <c r="L854" s="424" t="s">
        <v>503</v>
      </c>
      <c r="N854" s="1">
        <v>130</v>
      </c>
      <c r="O854" s="366">
        <v>1690.31</v>
      </c>
    </row>
    <row r="855" spans="1:16" ht="25.2" customHeight="1" x14ac:dyDescent="0.4">
      <c r="A855" s="648">
        <v>45236</v>
      </c>
      <c r="B855" s="426" t="s">
        <v>390</v>
      </c>
      <c r="C855" s="364"/>
      <c r="D855" s="364"/>
      <c r="E855" s="360">
        <f>1800+1600</f>
        <v>3400</v>
      </c>
      <c r="F855" s="360"/>
      <c r="G855" s="360"/>
      <c r="H855" s="360"/>
      <c r="I855" s="360"/>
      <c r="J855" s="360"/>
      <c r="K855" s="352" t="s">
        <v>61</v>
      </c>
      <c r="L855" s="424" t="s">
        <v>507</v>
      </c>
    </row>
    <row r="856" spans="1:16" ht="25.2" customHeight="1" x14ac:dyDescent="0.4">
      <c r="A856" s="649"/>
      <c r="B856" s="426" t="s">
        <v>390</v>
      </c>
      <c r="C856" s="364"/>
      <c r="D856" s="364"/>
      <c r="E856" s="360"/>
      <c r="F856" s="382">
        <f>O856*N856/9</f>
        <v>12395.606666666667</v>
      </c>
      <c r="G856" s="360"/>
      <c r="H856" s="360"/>
      <c r="I856" s="360"/>
      <c r="J856" s="360"/>
      <c r="K856" s="352" t="s">
        <v>63</v>
      </c>
      <c r="L856" s="424" t="s">
        <v>474</v>
      </c>
      <c r="N856" s="1">
        <v>66</v>
      </c>
      <c r="O856" s="366">
        <f>O854</f>
        <v>1690.31</v>
      </c>
    </row>
    <row r="857" spans="1:16" ht="25.2" customHeight="1" x14ac:dyDescent="0.4">
      <c r="A857" s="648">
        <v>45238</v>
      </c>
      <c r="B857" s="426" t="s">
        <v>390</v>
      </c>
      <c r="C857" s="364"/>
      <c r="D857" s="364"/>
      <c r="E857" s="360">
        <f>1500+10000+10000+1500</f>
        <v>23000</v>
      </c>
      <c r="F857" s="360"/>
      <c r="G857" s="360"/>
      <c r="H857" s="360"/>
      <c r="I857" s="360"/>
      <c r="J857" s="360"/>
      <c r="K857" s="352" t="s">
        <v>61</v>
      </c>
      <c r="L857" s="424" t="s">
        <v>508</v>
      </c>
    </row>
    <row r="858" spans="1:16" ht="25.2" customHeight="1" x14ac:dyDescent="0.4">
      <c r="A858" s="649"/>
      <c r="B858" s="426" t="s">
        <v>390</v>
      </c>
      <c r="C858" s="364"/>
      <c r="D858" s="364"/>
      <c r="E858" s="360"/>
      <c r="F858" s="382">
        <f>O858*N858/9</f>
        <v>37280.726111111107</v>
      </c>
      <c r="G858" s="360"/>
      <c r="H858" s="360"/>
      <c r="I858" s="360"/>
      <c r="J858" s="360"/>
      <c r="K858" s="352" t="s">
        <v>63</v>
      </c>
      <c r="L858" s="424" t="s">
        <v>505</v>
      </c>
      <c r="N858" s="1">
        <v>198.5</v>
      </c>
      <c r="O858" s="366">
        <f>O856</f>
        <v>1690.31</v>
      </c>
    </row>
    <row r="859" spans="1:16" ht="25.2" customHeight="1" x14ac:dyDescent="0.4">
      <c r="A859" s="662" t="s">
        <v>17</v>
      </c>
      <c r="B859" s="662"/>
      <c r="C859" s="360">
        <f>SUM(C853:C858)</f>
        <v>0</v>
      </c>
      <c r="D859" s="360">
        <f>SUM(D853:D858)</f>
        <v>0</v>
      </c>
      <c r="E859" s="360">
        <f>SUM(E853:E858)</f>
        <v>32400</v>
      </c>
      <c r="F859" s="360">
        <f>ROUNDDOWN(SUM(F853:F858),0)</f>
        <v>74091</v>
      </c>
      <c r="G859" s="360" t="e">
        <f>SUM(#REF!)</f>
        <v>#REF!</v>
      </c>
      <c r="H859" s="360" t="e">
        <f>SUM(#REF!)</f>
        <v>#REF!</v>
      </c>
      <c r="I859" s="360">
        <f>SUM(I853:I858)</f>
        <v>0</v>
      </c>
      <c r="J859" s="360">
        <f>SUM(J853:J858)</f>
        <v>0</v>
      </c>
      <c r="K859" s="352" t="s">
        <v>72</v>
      </c>
      <c r="L859" s="424" t="s">
        <v>504</v>
      </c>
    </row>
    <row r="860" spans="1:16" ht="25.2" customHeight="1" x14ac:dyDescent="0.4">
      <c r="A860" s="659" t="s">
        <v>18</v>
      </c>
      <c r="B860" s="659"/>
      <c r="C860" s="657">
        <f>C859+D859+E859+F859+I859+J859</f>
        <v>106491</v>
      </c>
      <c r="D860" s="657"/>
      <c r="E860" s="657"/>
      <c r="F860" s="657"/>
      <c r="G860" s="657"/>
      <c r="H860" s="657"/>
      <c r="I860" s="657"/>
      <c r="J860" s="657"/>
      <c r="K860" s="427"/>
      <c r="L860" s="425"/>
    </row>
    <row r="863" spans="1:16" ht="25.2" customHeight="1" x14ac:dyDescent="0.4">
      <c r="A863" s="6" t="s">
        <v>0</v>
      </c>
      <c r="B863" s="6" t="s">
        <v>1</v>
      </c>
      <c r="C863" s="6" t="s">
        <v>4</v>
      </c>
      <c r="D863" s="6" t="s">
        <v>287</v>
      </c>
      <c r="E863" s="6" t="s">
        <v>74</v>
      </c>
      <c r="F863" s="6" t="s">
        <v>3</v>
      </c>
      <c r="G863" s="6" t="s">
        <v>4</v>
      </c>
      <c r="H863" s="6" t="s">
        <v>5</v>
      </c>
      <c r="I863" s="6" t="s">
        <v>471</v>
      </c>
      <c r="J863" s="6" t="s">
        <v>7</v>
      </c>
      <c r="K863" s="6" t="s">
        <v>60</v>
      </c>
      <c r="L863" s="6" t="s">
        <v>8</v>
      </c>
      <c r="O863" s="43"/>
    </row>
    <row r="864" spans="1:16" ht="25.2" customHeight="1" x14ac:dyDescent="0.4">
      <c r="A864" s="648">
        <v>45240</v>
      </c>
      <c r="B864" s="430" t="s">
        <v>390</v>
      </c>
      <c r="C864" s="364"/>
      <c r="D864" s="364"/>
      <c r="E864" s="360">
        <f>1800+1500</f>
        <v>3300</v>
      </c>
      <c r="F864" s="360"/>
      <c r="G864" s="360"/>
      <c r="H864" s="360"/>
      <c r="I864" s="360"/>
      <c r="J864" s="360"/>
      <c r="K864" s="352" t="s">
        <v>61</v>
      </c>
      <c r="L864" s="428" t="s">
        <v>509</v>
      </c>
      <c r="P864" s="43"/>
    </row>
    <row r="865" spans="1:16" ht="25.2" customHeight="1" x14ac:dyDescent="0.4">
      <c r="A865" s="649"/>
      <c r="B865" s="430" t="s">
        <v>390</v>
      </c>
      <c r="C865" s="364"/>
      <c r="D865" s="364"/>
      <c r="E865" s="360"/>
      <c r="F865" s="382">
        <f>O865*N865/9</f>
        <v>18405.597777777777</v>
      </c>
      <c r="G865" s="360"/>
      <c r="H865" s="360"/>
      <c r="I865" s="360"/>
      <c r="J865" s="360"/>
      <c r="K865" s="352" t="s">
        <v>63</v>
      </c>
      <c r="L865" s="428" t="s">
        <v>510</v>
      </c>
      <c r="N865" s="1">
        <v>98</v>
      </c>
      <c r="O865" s="366">
        <v>1690.31</v>
      </c>
    </row>
    <row r="866" spans="1:16" ht="25.2" customHeight="1" x14ac:dyDescent="0.4">
      <c r="A866" s="648">
        <v>45257</v>
      </c>
      <c r="B866" s="430" t="s">
        <v>390</v>
      </c>
      <c r="C866" s="364"/>
      <c r="D866" s="364"/>
      <c r="E866" s="360">
        <f>1800+1600</f>
        <v>3400</v>
      </c>
      <c r="F866" s="360"/>
      <c r="G866" s="360"/>
      <c r="H866" s="360"/>
      <c r="I866" s="360"/>
      <c r="J866" s="360"/>
      <c r="K866" s="352" t="s">
        <v>61</v>
      </c>
      <c r="L866" s="428" t="s">
        <v>469</v>
      </c>
    </row>
    <row r="867" spans="1:16" ht="25.2" customHeight="1" x14ac:dyDescent="0.4">
      <c r="A867" s="649"/>
      <c r="B867" s="430" t="s">
        <v>390</v>
      </c>
      <c r="C867" s="364"/>
      <c r="D867" s="364"/>
      <c r="E867" s="360"/>
      <c r="F867" s="382">
        <f>O867*N867/9</f>
        <v>12395.606666666667</v>
      </c>
      <c r="G867" s="360"/>
      <c r="H867" s="360"/>
      <c r="I867" s="360"/>
      <c r="J867" s="360"/>
      <c r="K867" s="352" t="s">
        <v>63</v>
      </c>
      <c r="L867" s="428" t="s">
        <v>474</v>
      </c>
      <c r="N867" s="1">
        <v>66</v>
      </c>
      <c r="O867" s="366">
        <f>O865</f>
        <v>1690.31</v>
      </c>
    </row>
    <row r="868" spans="1:16" ht="25.2" customHeight="1" x14ac:dyDescent="0.4">
      <c r="A868" s="662" t="s">
        <v>17</v>
      </c>
      <c r="B868" s="662"/>
      <c r="C868" s="360">
        <f>SUM(C864:C867)</f>
        <v>0</v>
      </c>
      <c r="D868" s="360">
        <f>SUM(D864:D867)</f>
        <v>0</v>
      </c>
      <c r="E868" s="360">
        <f>SUM(E864:E867)</f>
        <v>6700</v>
      </c>
      <c r="F868" s="360">
        <f>ROUNDDOWN(SUM(F864:F867),0)</f>
        <v>30801</v>
      </c>
      <c r="G868" s="360" t="e">
        <f>SUM(#REF!)</f>
        <v>#REF!</v>
      </c>
      <c r="H868" s="360" t="e">
        <f>SUM(#REF!)</f>
        <v>#REF!</v>
      </c>
      <c r="I868" s="360">
        <f>SUM(I864:I867)</f>
        <v>0</v>
      </c>
      <c r="J868" s="360">
        <f>SUM(J864:J867)</f>
        <v>0</v>
      </c>
      <c r="K868" s="352" t="s">
        <v>63</v>
      </c>
      <c r="L868" s="428" t="s">
        <v>504</v>
      </c>
    </row>
    <row r="869" spans="1:16" ht="25.2" customHeight="1" x14ac:dyDescent="0.4">
      <c r="A869" s="659" t="s">
        <v>18</v>
      </c>
      <c r="B869" s="659"/>
      <c r="C869" s="657">
        <f>C868+D868+E868+F868+I868+J868</f>
        <v>37501</v>
      </c>
      <c r="D869" s="657"/>
      <c r="E869" s="657"/>
      <c r="F869" s="657"/>
      <c r="G869" s="657"/>
      <c r="H869" s="657"/>
      <c r="I869" s="657"/>
      <c r="J869" s="657"/>
      <c r="K869" s="431"/>
      <c r="L869" s="429"/>
    </row>
    <row r="871" spans="1:16" ht="25.2" customHeight="1" x14ac:dyDescent="0.4">
      <c r="A871" s="6" t="s">
        <v>0</v>
      </c>
      <c r="B871" s="6" t="s">
        <v>1</v>
      </c>
      <c r="C871" s="6" t="s">
        <v>4</v>
      </c>
      <c r="D871" s="6" t="s">
        <v>287</v>
      </c>
      <c r="E871" s="6" t="s">
        <v>74</v>
      </c>
      <c r="F871" s="6" t="s">
        <v>3</v>
      </c>
      <c r="G871" s="6" t="s">
        <v>4</v>
      </c>
      <c r="H871" s="6" t="s">
        <v>5</v>
      </c>
      <c r="I871" s="6" t="s">
        <v>471</v>
      </c>
      <c r="J871" s="6" t="s">
        <v>7</v>
      </c>
      <c r="K871" s="6" t="s">
        <v>60</v>
      </c>
      <c r="L871" s="6" t="s">
        <v>8</v>
      </c>
      <c r="O871" s="43"/>
    </row>
    <row r="872" spans="1:16" ht="25.2" customHeight="1" x14ac:dyDescent="0.4">
      <c r="A872" s="432">
        <v>45257</v>
      </c>
      <c r="B872" s="435" t="s">
        <v>390</v>
      </c>
      <c r="C872" s="364"/>
      <c r="D872" s="364">
        <v>7600</v>
      </c>
      <c r="E872" s="360"/>
      <c r="F872" s="360"/>
      <c r="G872" s="360"/>
      <c r="H872" s="360"/>
      <c r="I872" s="360"/>
      <c r="J872" s="360"/>
      <c r="K872" s="352" t="s">
        <v>61</v>
      </c>
      <c r="L872" s="433" t="s">
        <v>511</v>
      </c>
    </row>
    <row r="873" spans="1:16" ht="25.2" customHeight="1" x14ac:dyDescent="0.4">
      <c r="A873" s="662" t="s">
        <v>17</v>
      </c>
      <c r="B873" s="662"/>
      <c r="C873" s="360">
        <f>SUM(C872:C872)</f>
        <v>0</v>
      </c>
      <c r="D873" s="360">
        <f>SUM(D872:D872)</f>
        <v>7600</v>
      </c>
      <c r="E873" s="360">
        <f>SUM(E872:E872)</f>
        <v>0</v>
      </c>
      <c r="F873" s="360">
        <f>ROUNDDOWN(SUM(F872:F872),0)</f>
        <v>0</v>
      </c>
      <c r="G873" s="360" t="e">
        <f>SUM(#REF!)</f>
        <v>#REF!</v>
      </c>
      <c r="H873" s="360" t="e">
        <f>SUM(#REF!)</f>
        <v>#REF!</v>
      </c>
      <c r="I873" s="360">
        <f>SUM(I872:I872)</f>
        <v>0</v>
      </c>
      <c r="J873" s="360">
        <f>SUM(J872:J872)</f>
        <v>0</v>
      </c>
      <c r="K873" s="352" t="s">
        <v>63</v>
      </c>
      <c r="L873" s="433"/>
    </row>
    <row r="874" spans="1:16" ht="25.2" customHeight="1" x14ac:dyDescent="0.4">
      <c r="A874" s="659" t="s">
        <v>18</v>
      </c>
      <c r="B874" s="659"/>
      <c r="C874" s="657">
        <f>C873+D873+E873+F873+I873+J873</f>
        <v>7600</v>
      </c>
      <c r="D874" s="657"/>
      <c r="E874" s="657"/>
      <c r="F874" s="657"/>
      <c r="G874" s="657"/>
      <c r="H874" s="657"/>
      <c r="I874" s="657"/>
      <c r="J874" s="657"/>
      <c r="K874" s="436"/>
      <c r="L874" s="434"/>
    </row>
    <row r="877" spans="1:16" ht="25.2" customHeight="1" x14ac:dyDescent="0.4">
      <c r="A877" s="6" t="s">
        <v>0</v>
      </c>
      <c r="B877" s="6" t="s">
        <v>1</v>
      </c>
      <c r="C877" s="6" t="s">
        <v>4</v>
      </c>
      <c r="D877" s="6" t="s">
        <v>287</v>
      </c>
      <c r="E877" s="6" t="s">
        <v>74</v>
      </c>
      <c r="F877" s="6" t="s">
        <v>3</v>
      </c>
      <c r="G877" s="6" t="s">
        <v>4</v>
      </c>
      <c r="H877" s="6" t="s">
        <v>5</v>
      </c>
      <c r="I877" s="6" t="s">
        <v>471</v>
      </c>
      <c r="J877" s="6" t="s">
        <v>7</v>
      </c>
      <c r="K877" s="6" t="s">
        <v>60</v>
      </c>
      <c r="L877" s="6" t="s">
        <v>8</v>
      </c>
      <c r="O877" s="43"/>
    </row>
    <row r="878" spans="1:16" ht="25.2" customHeight="1" x14ac:dyDescent="0.4">
      <c r="A878" s="648">
        <v>45264</v>
      </c>
      <c r="B878" s="439" t="s">
        <v>390</v>
      </c>
      <c r="C878" s="364"/>
      <c r="D878" s="364"/>
      <c r="E878" s="360">
        <f>1600+1800</f>
        <v>3400</v>
      </c>
      <c r="F878" s="360"/>
      <c r="G878" s="360"/>
      <c r="H878" s="360"/>
      <c r="I878" s="360"/>
      <c r="J878" s="360"/>
      <c r="K878" s="352" t="s">
        <v>61</v>
      </c>
      <c r="L878" s="437" t="s">
        <v>506</v>
      </c>
      <c r="P878" s="43"/>
    </row>
    <row r="879" spans="1:16" ht="25.2" customHeight="1" x14ac:dyDescent="0.4">
      <c r="A879" s="649"/>
      <c r="B879" s="439" t="s">
        <v>390</v>
      </c>
      <c r="C879" s="364"/>
      <c r="D879" s="364"/>
      <c r="E879" s="360"/>
      <c r="F879" s="382">
        <f>O879*N879/9</f>
        <v>11940.28</v>
      </c>
      <c r="G879" s="360"/>
      <c r="H879" s="360"/>
      <c r="I879" s="360"/>
      <c r="J879" s="360"/>
      <c r="K879" s="352" t="s">
        <v>63</v>
      </c>
      <c r="L879" s="437" t="s">
        <v>503</v>
      </c>
      <c r="N879" s="1">
        <v>66</v>
      </c>
      <c r="O879" s="366">
        <v>1628.22</v>
      </c>
    </row>
    <row r="880" spans="1:16" ht="25.2" customHeight="1" x14ac:dyDescent="0.4">
      <c r="A880" s="648">
        <v>45274</v>
      </c>
      <c r="B880" s="439" t="s">
        <v>390</v>
      </c>
      <c r="C880" s="364"/>
      <c r="D880" s="364"/>
      <c r="E880" s="360">
        <f>1800+1600</f>
        <v>3400</v>
      </c>
      <c r="F880" s="360"/>
      <c r="G880" s="360"/>
      <c r="H880" s="360"/>
      <c r="I880" s="360"/>
      <c r="J880" s="360"/>
      <c r="K880" s="352" t="s">
        <v>61</v>
      </c>
      <c r="L880" s="437" t="s">
        <v>507</v>
      </c>
    </row>
    <row r="881" spans="1:15" ht="25.2" customHeight="1" x14ac:dyDescent="0.4">
      <c r="A881" s="661"/>
      <c r="B881" s="439" t="s">
        <v>390</v>
      </c>
      <c r="C881" s="364"/>
      <c r="D881" s="364">
        <v>2600</v>
      </c>
      <c r="E881" s="360"/>
      <c r="F881" s="360"/>
      <c r="G881" s="360"/>
      <c r="H881" s="360"/>
      <c r="I881" s="360"/>
      <c r="J881" s="360"/>
      <c r="K881" s="352" t="s">
        <v>514</v>
      </c>
      <c r="L881" s="437" t="s">
        <v>513</v>
      </c>
    </row>
    <row r="882" spans="1:15" ht="25.2" customHeight="1" x14ac:dyDescent="0.4">
      <c r="A882" s="649"/>
      <c r="B882" s="439" t="s">
        <v>390</v>
      </c>
      <c r="C882" s="364"/>
      <c r="D882" s="364"/>
      <c r="E882" s="360"/>
      <c r="F882" s="382">
        <f>O882*N882/9</f>
        <v>11940.28</v>
      </c>
      <c r="G882" s="360"/>
      <c r="H882" s="360"/>
      <c r="I882" s="360"/>
      <c r="J882" s="360"/>
      <c r="K882" s="352" t="s">
        <v>63</v>
      </c>
      <c r="L882" s="437" t="s">
        <v>474</v>
      </c>
      <c r="N882" s="1">
        <v>66</v>
      </c>
      <c r="O882" s="366">
        <f>O879</f>
        <v>1628.22</v>
      </c>
    </row>
    <row r="883" spans="1:15" ht="25.2" customHeight="1" x14ac:dyDescent="0.4">
      <c r="A883" s="648">
        <v>45282</v>
      </c>
      <c r="B883" s="439" t="s">
        <v>390</v>
      </c>
      <c r="C883" s="364"/>
      <c r="D883" s="364"/>
      <c r="E883" s="360">
        <f>800+1800</f>
        <v>2600</v>
      </c>
      <c r="F883" s="360"/>
      <c r="G883" s="360"/>
      <c r="H883" s="360"/>
      <c r="I883" s="360"/>
      <c r="J883" s="360"/>
      <c r="K883" s="352" t="s">
        <v>61</v>
      </c>
      <c r="L883" s="437" t="s">
        <v>508</v>
      </c>
    </row>
    <row r="884" spans="1:15" ht="25.2" customHeight="1" x14ac:dyDescent="0.4">
      <c r="A884" s="649"/>
      <c r="B884" s="439" t="s">
        <v>390</v>
      </c>
      <c r="C884" s="364"/>
      <c r="D884" s="364"/>
      <c r="E884" s="360"/>
      <c r="F884" s="382">
        <f>O884*N884/9</f>
        <v>11940.28</v>
      </c>
      <c r="G884" s="360"/>
      <c r="H884" s="360"/>
      <c r="I884" s="360"/>
      <c r="J884" s="360"/>
      <c r="K884" s="352" t="s">
        <v>63</v>
      </c>
      <c r="L884" s="437" t="s">
        <v>505</v>
      </c>
      <c r="N884" s="1">
        <v>66</v>
      </c>
      <c r="O884" s="366">
        <f>O882</f>
        <v>1628.22</v>
      </c>
    </row>
    <row r="885" spans="1:15" ht="25.2" customHeight="1" x14ac:dyDescent="0.4">
      <c r="A885" s="662" t="s">
        <v>17</v>
      </c>
      <c r="B885" s="662"/>
      <c r="C885" s="360">
        <f>SUM(C878:C884)</f>
        <v>0</v>
      </c>
      <c r="D885" s="360">
        <f>SUM(D878:D884)</f>
        <v>2600</v>
      </c>
      <c r="E885" s="360">
        <f>SUM(E878:E884)</f>
        <v>9400</v>
      </c>
      <c r="F885" s="360">
        <f>ROUNDDOWN(SUM(F878:F884),0)</f>
        <v>35820</v>
      </c>
      <c r="G885" s="360" t="e">
        <f>SUM(#REF!)</f>
        <v>#REF!</v>
      </c>
      <c r="H885" s="360" t="e">
        <f>SUM(#REF!)</f>
        <v>#REF!</v>
      </c>
      <c r="I885" s="360">
        <f>SUM(I878:I884)</f>
        <v>0</v>
      </c>
      <c r="J885" s="360">
        <f>SUM(J878:J884)</f>
        <v>0</v>
      </c>
      <c r="K885" s="352" t="s">
        <v>515</v>
      </c>
      <c r="L885" s="437" t="s">
        <v>512</v>
      </c>
    </row>
    <row r="886" spans="1:15" ht="25.2" customHeight="1" x14ac:dyDescent="0.4">
      <c r="A886" s="659" t="s">
        <v>18</v>
      </c>
      <c r="B886" s="659"/>
      <c r="C886" s="657">
        <f>C885+D885+E885+F885+I885+J885</f>
        <v>47820</v>
      </c>
      <c r="D886" s="657"/>
      <c r="E886" s="657"/>
      <c r="F886" s="657"/>
      <c r="G886" s="657"/>
      <c r="H886" s="657"/>
      <c r="I886" s="657"/>
      <c r="J886" s="657"/>
      <c r="K886" s="440"/>
      <c r="L886" s="438"/>
    </row>
    <row r="889" spans="1:15" ht="25.2" customHeight="1" x14ac:dyDescent="0.4">
      <c r="A889" s="6" t="s">
        <v>0</v>
      </c>
      <c r="B889" s="6" t="s">
        <v>1</v>
      </c>
      <c r="C889" s="6" t="s">
        <v>4</v>
      </c>
      <c r="D889" s="6" t="s">
        <v>287</v>
      </c>
      <c r="E889" s="6" t="s">
        <v>74</v>
      </c>
      <c r="F889" s="6" t="s">
        <v>3</v>
      </c>
      <c r="G889" s="6" t="s">
        <v>4</v>
      </c>
      <c r="H889" s="6" t="s">
        <v>5</v>
      </c>
      <c r="I889" s="6" t="s">
        <v>471</v>
      </c>
      <c r="J889" s="6" t="s">
        <v>7</v>
      </c>
      <c r="K889" s="6" t="s">
        <v>60</v>
      </c>
      <c r="L889" s="6" t="s">
        <v>8</v>
      </c>
      <c r="O889" s="43"/>
    </row>
    <row r="890" spans="1:15" ht="25.2" customHeight="1" x14ac:dyDescent="0.4">
      <c r="A890" s="648">
        <v>45280</v>
      </c>
      <c r="B890" s="439" t="s">
        <v>390</v>
      </c>
      <c r="C890" s="364"/>
      <c r="D890" s="364"/>
      <c r="E890" s="360">
        <f>4200+13900+10900+700+6100</f>
        <v>35800</v>
      </c>
      <c r="F890" s="360"/>
      <c r="G890" s="360"/>
      <c r="H890" s="360"/>
      <c r="I890" s="360"/>
      <c r="J890" s="360"/>
      <c r="K890" s="352" t="s">
        <v>61</v>
      </c>
      <c r="L890" s="437" t="s">
        <v>507</v>
      </c>
    </row>
    <row r="891" spans="1:15" ht="25.2" customHeight="1" x14ac:dyDescent="0.4">
      <c r="A891" s="661"/>
      <c r="B891" s="439" t="s">
        <v>390</v>
      </c>
      <c r="C891" s="364"/>
      <c r="D891" s="364"/>
      <c r="E891" s="360"/>
      <c r="F891" s="360"/>
      <c r="G891" s="360"/>
      <c r="H891" s="360"/>
      <c r="I891" s="360"/>
      <c r="J891" s="360">
        <v>9000</v>
      </c>
      <c r="K891" s="352" t="s">
        <v>519</v>
      </c>
      <c r="L891" s="437" t="s">
        <v>517</v>
      </c>
    </row>
    <row r="892" spans="1:15" ht="25.2" customHeight="1" x14ac:dyDescent="0.4">
      <c r="A892" s="661"/>
      <c r="B892" s="439" t="s">
        <v>390</v>
      </c>
      <c r="C892" s="364"/>
      <c r="D892" s="364"/>
      <c r="E892" s="360"/>
      <c r="F892" s="360"/>
      <c r="G892" s="360"/>
      <c r="H892" s="360"/>
      <c r="I892" s="360"/>
      <c r="J892" s="360">
        <v>11000</v>
      </c>
      <c r="K892" s="352" t="s">
        <v>520</v>
      </c>
      <c r="L892" s="437" t="s">
        <v>518</v>
      </c>
    </row>
    <row r="893" spans="1:15" ht="25.2" customHeight="1" x14ac:dyDescent="0.4">
      <c r="A893" s="649"/>
      <c r="B893" s="439" t="s">
        <v>390</v>
      </c>
      <c r="C893" s="364"/>
      <c r="D893" s="364"/>
      <c r="E893" s="360"/>
      <c r="F893" s="382">
        <f>O893*N893/9</f>
        <v>118498.23333333334</v>
      </c>
      <c r="G893" s="360"/>
      <c r="H893" s="360"/>
      <c r="I893" s="360"/>
      <c r="J893" s="360"/>
      <c r="K893" s="352" t="s">
        <v>514</v>
      </c>
      <c r="L893" s="437" t="s">
        <v>516</v>
      </c>
      <c r="N893" s="1">
        <v>655</v>
      </c>
      <c r="O893" s="366">
        <v>1628.22</v>
      </c>
    </row>
    <row r="894" spans="1:15" ht="25.2" customHeight="1" x14ac:dyDescent="0.4">
      <c r="A894" s="662" t="s">
        <v>17</v>
      </c>
      <c r="B894" s="662"/>
      <c r="C894" s="360">
        <f>SUM(C890:C893)</f>
        <v>0</v>
      </c>
      <c r="D894" s="360">
        <f>SUM(D890:D893)</f>
        <v>0</v>
      </c>
      <c r="E894" s="360">
        <f>SUM(E890:E893)</f>
        <v>35800</v>
      </c>
      <c r="F894" s="360">
        <f>ROUNDDOWN(SUM(F890:F893),0)</f>
        <v>118498</v>
      </c>
      <c r="G894" s="360" t="e">
        <f>SUM(#REF!)</f>
        <v>#REF!</v>
      </c>
      <c r="H894" s="360" t="e">
        <f>SUM(#REF!)</f>
        <v>#REF!</v>
      </c>
      <c r="I894" s="360">
        <f>SUM(I890:I893)</f>
        <v>0</v>
      </c>
      <c r="J894" s="360">
        <f>SUM(J890:J893)</f>
        <v>20000</v>
      </c>
      <c r="K894" s="352" t="s">
        <v>515</v>
      </c>
      <c r="L894" s="437" t="s">
        <v>512</v>
      </c>
    </row>
    <row r="895" spans="1:15" ht="25.2" customHeight="1" x14ac:dyDescent="0.4">
      <c r="A895" s="659" t="s">
        <v>18</v>
      </c>
      <c r="B895" s="659"/>
      <c r="C895" s="657">
        <f>C894+D894+E894+F894+I894+J894</f>
        <v>174298</v>
      </c>
      <c r="D895" s="657"/>
      <c r="E895" s="657"/>
      <c r="F895" s="657"/>
      <c r="G895" s="657"/>
      <c r="H895" s="657"/>
      <c r="I895" s="657"/>
      <c r="J895" s="657"/>
      <c r="K895" s="440"/>
      <c r="L895" s="438"/>
    </row>
    <row r="898" spans="1:16" ht="25.2" customHeight="1" x14ac:dyDescent="0.4">
      <c r="A898" s="6" t="s">
        <v>0</v>
      </c>
      <c r="B898" s="6" t="s">
        <v>1</v>
      </c>
      <c r="C898" s="6" t="s">
        <v>4</v>
      </c>
      <c r="D898" s="6" t="s">
        <v>287</v>
      </c>
      <c r="E898" s="6" t="s">
        <v>74</v>
      </c>
      <c r="F898" s="6" t="s">
        <v>3</v>
      </c>
      <c r="G898" s="6" t="s">
        <v>4</v>
      </c>
      <c r="H898" s="6" t="s">
        <v>5</v>
      </c>
      <c r="I898" s="6" t="s">
        <v>471</v>
      </c>
      <c r="J898" s="6" t="s">
        <v>7</v>
      </c>
      <c r="K898" s="6" t="s">
        <v>60</v>
      </c>
      <c r="L898" s="6" t="s">
        <v>8</v>
      </c>
      <c r="O898" s="43"/>
    </row>
    <row r="899" spans="1:16" ht="25.2" customHeight="1" x14ac:dyDescent="0.4">
      <c r="A899" s="648">
        <v>45264</v>
      </c>
      <c r="B899" s="439" t="s">
        <v>390</v>
      </c>
      <c r="C899" s="364"/>
      <c r="D899" s="364"/>
      <c r="E899" s="360">
        <f>1600+1800</f>
        <v>3400</v>
      </c>
      <c r="F899" s="360"/>
      <c r="G899" s="360"/>
      <c r="H899" s="360"/>
      <c r="I899" s="360"/>
      <c r="J899" s="360"/>
      <c r="K899" s="352" t="s">
        <v>61</v>
      </c>
      <c r="L899" s="437" t="s">
        <v>506</v>
      </c>
      <c r="P899" s="43"/>
    </row>
    <row r="900" spans="1:16" ht="25.2" customHeight="1" x14ac:dyDescent="0.4">
      <c r="A900" s="649"/>
      <c r="B900" s="439" t="s">
        <v>390</v>
      </c>
      <c r="C900" s="364"/>
      <c r="D900" s="364"/>
      <c r="E900" s="360"/>
      <c r="F900" s="382">
        <f>O900*N900/9</f>
        <v>11940.28</v>
      </c>
      <c r="G900" s="360"/>
      <c r="H900" s="360"/>
      <c r="I900" s="360"/>
      <c r="J900" s="360"/>
      <c r="K900" s="352" t="s">
        <v>63</v>
      </c>
      <c r="L900" s="437" t="s">
        <v>503</v>
      </c>
      <c r="N900" s="1">
        <v>66</v>
      </c>
      <c r="O900" s="366">
        <v>1628.22</v>
      </c>
    </row>
    <row r="901" spans="1:16" ht="25.2" customHeight="1" x14ac:dyDescent="0.4">
      <c r="A901" s="648">
        <v>45274</v>
      </c>
      <c r="B901" s="439" t="s">
        <v>390</v>
      </c>
      <c r="C901" s="364"/>
      <c r="D901" s="364"/>
      <c r="E901" s="360">
        <f>1800+1600</f>
        <v>3400</v>
      </c>
      <c r="F901" s="360"/>
      <c r="G901" s="360"/>
      <c r="H901" s="360"/>
      <c r="I901" s="360"/>
      <c r="J901" s="360"/>
      <c r="K901" s="352" t="s">
        <v>61</v>
      </c>
      <c r="L901" s="437" t="s">
        <v>507</v>
      </c>
    </row>
    <row r="902" spans="1:16" ht="25.2" customHeight="1" x14ac:dyDescent="0.4">
      <c r="A902" s="661"/>
      <c r="B902" s="439" t="s">
        <v>390</v>
      </c>
      <c r="C902" s="364"/>
      <c r="D902" s="364">
        <v>2600</v>
      </c>
      <c r="E902" s="360"/>
      <c r="F902" s="360"/>
      <c r="G902" s="360"/>
      <c r="H902" s="360"/>
      <c r="I902" s="360"/>
      <c r="J902" s="360"/>
      <c r="K902" s="352" t="s">
        <v>514</v>
      </c>
      <c r="L902" s="437" t="s">
        <v>513</v>
      </c>
    </row>
    <row r="903" spans="1:16" ht="25.2" customHeight="1" x14ac:dyDescent="0.4">
      <c r="A903" s="649"/>
      <c r="B903" s="439" t="s">
        <v>390</v>
      </c>
      <c r="C903" s="364"/>
      <c r="D903" s="364"/>
      <c r="E903" s="360"/>
      <c r="F903" s="382">
        <f>O903*N903/9</f>
        <v>11940.28</v>
      </c>
      <c r="G903" s="360"/>
      <c r="H903" s="360"/>
      <c r="I903" s="360"/>
      <c r="J903" s="360"/>
      <c r="K903" s="352" t="s">
        <v>63</v>
      </c>
      <c r="L903" s="437" t="s">
        <v>474</v>
      </c>
      <c r="N903" s="1">
        <v>66</v>
      </c>
      <c r="O903" s="366">
        <f>O900</f>
        <v>1628.22</v>
      </c>
    </row>
    <row r="904" spans="1:16" ht="25.2" customHeight="1" x14ac:dyDescent="0.4">
      <c r="A904" s="648">
        <v>45282</v>
      </c>
      <c r="B904" s="439" t="s">
        <v>390</v>
      </c>
      <c r="C904" s="364"/>
      <c r="D904" s="364"/>
      <c r="E904" s="360">
        <f>800+1800</f>
        <v>2600</v>
      </c>
      <c r="F904" s="360"/>
      <c r="G904" s="360"/>
      <c r="H904" s="360"/>
      <c r="I904" s="360"/>
      <c r="J904" s="360"/>
      <c r="K904" s="352" t="s">
        <v>61</v>
      </c>
      <c r="L904" s="437" t="s">
        <v>508</v>
      </c>
    </row>
    <row r="905" spans="1:16" ht="25.2" customHeight="1" x14ac:dyDescent="0.4">
      <c r="A905" s="649"/>
      <c r="B905" s="439" t="s">
        <v>390</v>
      </c>
      <c r="C905" s="364"/>
      <c r="D905" s="364"/>
      <c r="E905" s="360"/>
      <c r="F905" s="382">
        <f>O905*N905/9</f>
        <v>11940.28</v>
      </c>
      <c r="G905" s="360"/>
      <c r="H905" s="360"/>
      <c r="I905" s="360"/>
      <c r="J905" s="360"/>
      <c r="K905" s="352" t="s">
        <v>63</v>
      </c>
      <c r="L905" s="437" t="s">
        <v>505</v>
      </c>
      <c r="N905" s="1">
        <v>66</v>
      </c>
      <c r="O905" s="366">
        <f>O903</f>
        <v>1628.22</v>
      </c>
    </row>
    <row r="906" spans="1:16" ht="25.2" customHeight="1" x14ac:dyDescent="0.4">
      <c r="A906" s="662" t="s">
        <v>17</v>
      </c>
      <c r="B906" s="662"/>
      <c r="C906" s="360">
        <f>SUM(C899:C905)</f>
        <v>0</v>
      </c>
      <c r="D906" s="360">
        <f>SUM(D899:D905)</f>
        <v>2600</v>
      </c>
      <c r="E906" s="360">
        <f>SUM(E899:E905)</f>
        <v>9400</v>
      </c>
      <c r="F906" s="360">
        <f>ROUNDDOWN(SUM(F899:F905),0)</f>
        <v>35820</v>
      </c>
      <c r="G906" s="360" t="e">
        <f>SUM(#REF!)</f>
        <v>#REF!</v>
      </c>
      <c r="H906" s="360" t="e">
        <f>SUM(#REF!)</f>
        <v>#REF!</v>
      </c>
      <c r="I906" s="360">
        <f>SUM(I899:I905)</f>
        <v>0</v>
      </c>
      <c r="J906" s="360">
        <f>SUM(J899:J905)</f>
        <v>0</v>
      </c>
      <c r="K906" s="352" t="s">
        <v>515</v>
      </c>
      <c r="L906" s="437" t="s">
        <v>512</v>
      </c>
    </row>
    <row r="907" spans="1:16" ht="25.2" customHeight="1" x14ac:dyDescent="0.4">
      <c r="A907" s="659" t="s">
        <v>18</v>
      </c>
      <c r="B907" s="659"/>
      <c r="C907" s="657">
        <f>C906+D906+E906+F906+I906+J906</f>
        <v>47820</v>
      </c>
      <c r="D907" s="657"/>
      <c r="E907" s="657"/>
      <c r="F907" s="657"/>
      <c r="G907" s="657"/>
      <c r="H907" s="657"/>
      <c r="I907" s="657"/>
      <c r="J907" s="657"/>
      <c r="K907" s="440"/>
      <c r="L907" s="438"/>
    </row>
    <row r="910" spans="1:16" ht="25.2" customHeight="1" x14ac:dyDescent="0.4">
      <c r="A910" s="6" t="s">
        <v>0</v>
      </c>
      <c r="B910" s="6" t="s">
        <v>1</v>
      </c>
      <c r="C910" s="6" t="s">
        <v>4</v>
      </c>
      <c r="D910" s="6" t="s">
        <v>287</v>
      </c>
      <c r="E910" s="6" t="s">
        <v>74</v>
      </c>
      <c r="F910" s="6" t="s">
        <v>3</v>
      </c>
      <c r="G910" s="6" t="s">
        <v>4</v>
      </c>
      <c r="H910" s="6" t="s">
        <v>5</v>
      </c>
      <c r="I910" s="6" t="s">
        <v>521</v>
      </c>
      <c r="J910" s="6" t="s">
        <v>7</v>
      </c>
      <c r="K910" s="6" t="s">
        <v>60</v>
      </c>
      <c r="L910" s="6" t="s">
        <v>8</v>
      </c>
      <c r="O910" s="43"/>
    </row>
    <row r="911" spans="1:16" ht="25.2" customHeight="1" x14ac:dyDescent="0.4">
      <c r="A911" s="648">
        <v>45286</v>
      </c>
      <c r="B911" s="439" t="s">
        <v>390</v>
      </c>
      <c r="C911" s="364"/>
      <c r="D911" s="364"/>
      <c r="E911" s="360">
        <f>10700+6100</f>
        <v>16800</v>
      </c>
      <c r="F911" s="360"/>
      <c r="G911" s="360"/>
      <c r="H911" s="360"/>
      <c r="I911" s="360"/>
      <c r="J911" s="360"/>
      <c r="K911" s="352" t="s">
        <v>532</v>
      </c>
      <c r="L911" s="437" t="s">
        <v>526</v>
      </c>
      <c r="P911" s="43"/>
    </row>
    <row r="912" spans="1:16" ht="25.2" customHeight="1" x14ac:dyDescent="0.4">
      <c r="A912" s="661"/>
      <c r="B912" s="439" t="s">
        <v>390</v>
      </c>
      <c r="C912" s="364"/>
      <c r="D912" s="364"/>
      <c r="E912" s="360"/>
      <c r="F912" s="360"/>
      <c r="G912" s="360"/>
      <c r="H912" s="360"/>
      <c r="I912" s="360"/>
      <c r="J912" s="360">
        <v>24000</v>
      </c>
      <c r="K912" s="352"/>
      <c r="L912" s="437" t="s">
        <v>522</v>
      </c>
      <c r="P912" s="43"/>
    </row>
    <row r="913" spans="1:16" ht="25.2" customHeight="1" x14ac:dyDescent="0.4">
      <c r="A913" s="661"/>
      <c r="B913" s="439" t="s">
        <v>390</v>
      </c>
      <c r="C913" s="364"/>
      <c r="D913" s="364"/>
      <c r="E913" s="360"/>
      <c r="F913" s="360"/>
      <c r="G913" s="360"/>
      <c r="H913" s="360"/>
      <c r="I913" s="360">
        <v>10000</v>
      </c>
      <c r="J913" s="360"/>
      <c r="K913" s="352"/>
      <c r="L913" s="437" t="s">
        <v>523</v>
      </c>
      <c r="P913" s="43"/>
    </row>
    <row r="914" spans="1:16" ht="25.2" customHeight="1" x14ac:dyDescent="0.4">
      <c r="A914" s="661"/>
      <c r="B914" s="439" t="s">
        <v>390</v>
      </c>
      <c r="C914" s="364">
        <v>45000</v>
      </c>
      <c r="D914" s="364"/>
      <c r="E914" s="360"/>
      <c r="F914" s="360"/>
      <c r="G914" s="360"/>
      <c r="H914" s="360"/>
      <c r="I914" s="360"/>
      <c r="J914" s="360"/>
      <c r="K914" s="352" t="s">
        <v>62</v>
      </c>
      <c r="L914" s="437" t="s">
        <v>525</v>
      </c>
      <c r="P914" s="43"/>
    </row>
    <row r="915" spans="1:16" ht="25.2" customHeight="1" x14ac:dyDescent="0.4">
      <c r="A915" s="649"/>
      <c r="B915" s="439" t="s">
        <v>390</v>
      </c>
      <c r="C915" s="364"/>
      <c r="D915" s="364"/>
      <c r="E915" s="360"/>
      <c r="F915" s="382">
        <f>O915*N915/9</f>
        <v>59701.399999999994</v>
      </c>
      <c r="G915" s="360"/>
      <c r="H915" s="360"/>
      <c r="I915" s="360"/>
      <c r="J915" s="360"/>
      <c r="K915" s="352"/>
      <c r="L915" s="437" t="s">
        <v>530</v>
      </c>
      <c r="N915" s="1">
        <v>330</v>
      </c>
      <c r="O915" s="366">
        <v>1628.22</v>
      </c>
    </row>
    <row r="916" spans="1:16" ht="25.2" customHeight="1" x14ac:dyDescent="0.4">
      <c r="A916" s="661">
        <v>45287</v>
      </c>
      <c r="B916" s="439" t="s">
        <v>390</v>
      </c>
      <c r="C916" s="364"/>
      <c r="D916" s="364"/>
      <c r="E916" s="360"/>
      <c r="F916" s="360"/>
      <c r="G916" s="360"/>
      <c r="H916" s="360"/>
      <c r="I916" s="360"/>
      <c r="J916" s="360">
        <v>24000</v>
      </c>
      <c r="K916" s="352"/>
      <c r="L916" s="437" t="s">
        <v>524</v>
      </c>
    </row>
    <row r="917" spans="1:16" ht="25.2" customHeight="1" x14ac:dyDescent="0.4">
      <c r="A917" s="661"/>
      <c r="B917" s="439" t="s">
        <v>390</v>
      </c>
      <c r="C917" s="364"/>
      <c r="D917" s="364"/>
      <c r="E917" s="360"/>
      <c r="F917" s="360"/>
      <c r="G917" s="360"/>
      <c r="H917" s="360"/>
      <c r="I917" s="360">
        <v>10000</v>
      </c>
      <c r="J917" s="360"/>
      <c r="K917" s="352"/>
      <c r="L917" s="437" t="s">
        <v>523</v>
      </c>
    </row>
    <row r="918" spans="1:16" ht="25.2" customHeight="1" x14ac:dyDescent="0.4">
      <c r="A918" s="661"/>
      <c r="B918" s="439" t="s">
        <v>390</v>
      </c>
      <c r="C918" s="364">
        <v>45000</v>
      </c>
      <c r="D918" s="364"/>
      <c r="E918" s="360"/>
      <c r="F918" s="360"/>
      <c r="G918" s="360"/>
      <c r="H918" s="360"/>
      <c r="I918" s="360"/>
      <c r="J918" s="360"/>
      <c r="K918" s="352" t="s">
        <v>533</v>
      </c>
      <c r="L918" s="437" t="s">
        <v>525</v>
      </c>
    </row>
    <row r="919" spans="1:16" ht="25.2" customHeight="1" x14ac:dyDescent="0.4">
      <c r="A919" s="649"/>
      <c r="B919" s="439" t="s">
        <v>390</v>
      </c>
      <c r="C919" s="364"/>
      <c r="D919" s="364"/>
      <c r="E919" s="360"/>
      <c r="F919" s="382">
        <f>O919*N919/9</f>
        <v>1447.3066666666666</v>
      </c>
      <c r="G919" s="360"/>
      <c r="H919" s="360"/>
      <c r="I919" s="360"/>
      <c r="J919" s="360"/>
      <c r="K919" s="352"/>
      <c r="L919" s="437" t="s">
        <v>528</v>
      </c>
      <c r="N919" s="1">
        <v>8</v>
      </c>
      <c r="O919" s="366">
        <f>O915</f>
        <v>1628.22</v>
      </c>
    </row>
    <row r="920" spans="1:16" ht="25.2" customHeight="1" x14ac:dyDescent="0.4">
      <c r="A920" s="661">
        <v>45288</v>
      </c>
      <c r="B920" s="439" t="s">
        <v>390</v>
      </c>
      <c r="C920" s="364"/>
      <c r="D920" s="364"/>
      <c r="E920" s="360"/>
      <c r="F920" s="360"/>
      <c r="G920" s="360"/>
      <c r="H920" s="360"/>
      <c r="I920" s="360"/>
      <c r="J920" s="360">
        <v>24000</v>
      </c>
      <c r="K920" s="352"/>
      <c r="L920" s="437" t="s">
        <v>524</v>
      </c>
    </row>
    <row r="921" spans="1:16" ht="25.2" customHeight="1" x14ac:dyDescent="0.4">
      <c r="A921" s="661"/>
      <c r="B921" s="439" t="s">
        <v>390</v>
      </c>
      <c r="C921" s="364"/>
      <c r="D921" s="364"/>
      <c r="E921" s="360"/>
      <c r="F921" s="360"/>
      <c r="G921" s="360"/>
      <c r="H921" s="360"/>
      <c r="I921" s="360">
        <v>10000</v>
      </c>
      <c r="J921" s="360"/>
      <c r="K921" s="352"/>
      <c r="L921" s="437" t="s">
        <v>523</v>
      </c>
    </row>
    <row r="922" spans="1:16" ht="25.2" customHeight="1" x14ac:dyDescent="0.4">
      <c r="A922" s="661"/>
      <c r="B922" s="439" t="s">
        <v>390</v>
      </c>
      <c r="C922" s="364">
        <v>45000</v>
      </c>
      <c r="D922" s="364"/>
      <c r="E922" s="360"/>
      <c r="F922" s="360"/>
      <c r="G922" s="360"/>
      <c r="H922" s="360"/>
      <c r="I922" s="360"/>
      <c r="J922" s="360"/>
      <c r="K922" s="352" t="s">
        <v>65</v>
      </c>
      <c r="L922" s="437" t="s">
        <v>525</v>
      </c>
    </row>
    <row r="923" spans="1:16" ht="25.2" customHeight="1" x14ac:dyDescent="0.4">
      <c r="A923" s="649"/>
      <c r="B923" s="439" t="s">
        <v>390</v>
      </c>
      <c r="C923" s="364"/>
      <c r="D923" s="364"/>
      <c r="E923" s="360"/>
      <c r="F923" s="382">
        <f>O923*N923/9</f>
        <v>1447.3066666666666</v>
      </c>
      <c r="G923" s="360"/>
      <c r="H923" s="360"/>
      <c r="I923" s="360"/>
      <c r="J923" s="360"/>
      <c r="K923" s="352"/>
      <c r="L923" s="437" t="s">
        <v>529</v>
      </c>
      <c r="N923" s="1">
        <v>8</v>
      </c>
      <c r="O923" s="366">
        <f>O919</f>
        <v>1628.22</v>
      </c>
    </row>
    <row r="924" spans="1:16" ht="25.2" customHeight="1" x14ac:dyDescent="0.4">
      <c r="A924" s="661">
        <v>45289</v>
      </c>
      <c r="B924" s="439" t="s">
        <v>390</v>
      </c>
      <c r="C924" s="364"/>
      <c r="D924" s="364"/>
      <c r="E924" s="360"/>
      <c r="F924" s="360"/>
      <c r="G924" s="360"/>
      <c r="H924" s="360"/>
      <c r="I924" s="360"/>
      <c r="J924" s="360">
        <v>24000</v>
      </c>
      <c r="K924" s="352"/>
      <c r="L924" s="437" t="s">
        <v>524</v>
      </c>
    </row>
    <row r="925" spans="1:16" ht="25.2" customHeight="1" x14ac:dyDescent="0.4">
      <c r="A925" s="661"/>
      <c r="B925" s="439" t="s">
        <v>390</v>
      </c>
      <c r="C925" s="364"/>
      <c r="D925" s="364"/>
      <c r="E925" s="360"/>
      <c r="F925" s="360"/>
      <c r="G925" s="360"/>
      <c r="H925" s="360"/>
      <c r="I925" s="360">
        <v>10000</v>
      </c>
      <c r="J925" s="360"/>
      <c r="K925" s="352"/>
      <c r="L925" s="437" t="s">
        <v>523</v>
      </c>
    </row>
    <row r="926" spans="1:16" ht="25.2" customHeight="1" x14ac:dyDescent="0.4">
      <c r="A926" s="661"/>
      <c r="B926" s="439" t="s">
        <v>390</v>
      </c>
      <c r="C926" s="364">
        <v>45000</v>
      </c>
      <c r="D926" s="364"/>
      <c r="E926" s="360"/>
      <c r="F926" s="360"/>
      <c r="G926" s="360"/>
      <c r="H926" s="360"/>
      <c r="I926" s="360"/>
      <c r="J926" s="360"/>
      <c r="K926" s="352" t="s">
        <v>66</v>
      </c>
      <c r="L926" s="437" t="s">
        <v>525</v>
      </c>
    </row>
    <row r="927" spans="1:16" ht="25.2" customHeight="1" x14ac:dyDescent="0.4">
      <c r="A927" s="649"/>
      <c r="B927" s="439" t="s">
        <v>390</v>
      </c>
      <c r="C927" s="364"/>
      <c r="D927" s="364"/>
      <c r="E927" s="360"/>
      <c r="F927" s="382">
        <f>O927*N927/9</f>
        <v>1447.3066666666666</v>
      </c>
      <c r="G927" s="360"/>
      <c r="H927" s="360"/>
      <c r="I927" s="360"/>
      <c r="J927" s="360"/>
      <c r="K927" s="352"/>
      <c r="L927" s="437" t="s">
        <v>528</v>
      </c>
      <c r="N927" s="1">
        <v>8</v>
      </c>
      <c r="O927" s="366">
        <f>O923</f>
        <v>1628.22</v>
      </c>
    </row>
    <row r="928" spans="1:16" ht="25.2" customHeight="1" x14ac:dyDescent="0.4">
      <c r="A928" s="648">
        <v>45290</v>
      </c>
      <c r="B928" s="439" t="s">
        <v>390</v>
      </c>
      <c r="C928" s="364"/>
      <c r="D928" s="364"/>
      <c r="E928" s="360">
        <f>4400+14300</f>
        <v>18700</v>
      </c>
      <c r="F928" s="360"/>
      <c r="G928" s="360"/>
      <c r="H928" s="360"/>
      <c r="I928" s="360"/>
      <c r="J928" s="360"/>
      <c r="K928" s="352" t="s">
        <v>61</v>
      </c>
      <c r="L928" s="437" t="s">
        <v>527</v>
      </c>
    </row>
    <row r="929" spans="1:15" ht="25.2" customHeight="1" x14ac:dyDescent="0.4">
      <c r="A929" s="661"/>
      <c r="B929" s="439" t="s">
        <v>390</v>
      </c>
      <c r="C929" s="364"/>
      <c r="D929" s="364"/>
      <c r="E929" s="360"/>
      <c r="F929" s="360"/>
      <c r="G929" s="360"/>
      <c r="H929" s="360"/>
      <c r="I929" s="360"/>
      <c r="J929" s="360">
        <v>24000</v>
      </c>
      <c r="K929" s="352"/>
      <c r="L929" s="437" t="s">
        <v>524</v>
      </c>
    </row>
    <row r="930" spans="1:15" ht="25.2" customHeight="1" x14ac:dyDescent="0.4">
      <c r="A930" s="661"/>
      <c r="B930" s="439" t="s">
        <v>390</v>
      </c>
      <c r="C930" s="364"/>
      <c r="D930" s="364"/>
      <c r="E930" s="360"/>
      <c r="F930" s="360"/>
      <c r="G930" s="360"/>
      <c r="H930" s="360"/>
      <c r="I930" s="360">
        <v>10000</v>
      </c>
      <c r="J930" s="360"/>
      <c r="K930" s="352"/>
      <c r="L930" s="437" t="s">
        <v>523</v>
      </c>
    </row>
    <row r="931" spans="1:15" ht="25.2" customHeight="1" x14ac:dyDescent="0.4">
      <c r="A931" s="649"/>
      <c r="B931" s="439" t="s">
        <v>390</v>
      </c>
      <c r="C931" s="364"/>
      <c r="D931" s="364"/>
      <c r="E931" s="360"/>
      <c r="F931" s="382">
        <f>O931*N931/9</f>
        <v>59701.399999999994</v>
      </c>
      <c r="G931" s="360"/>
      <c r="H931" s="360"/>
      <c r="I931" s="360"/>
      <c r="J931" s="360"/>
      <c r="K931" s="352"/>
      <c r="L931" s="437" t="s">
        <v>531</v>
      </c>
      <c r="N931" s="1">
        <v>330</v>
      </c>
      <c r="O931" s="366">
        <f>O919</f>
        <v>1628.22</v>
      </c>
    </row>
    <row r="932" spans="1:15" ht="25.2" customHeight="1" x14ac:dyDescent="0.4">
      <c r="A932" s="662" t="s">
        <v>17</v>
      </c>
      <c r="B932" s="662"/>
      <c r="C932" s="360">
        <f>SUM(C911:C931)</f>
        <v>180000</v>
      </c>
      <c r="D932" s="360">
        <f>SUM(D911:D931)</f>
        <v>0</v>
      </c>
      <c r="E932" s="360">
        <f>SUM(E911:E931)</f>
        <v>35500</v>
      </c>
      <c r="F932" s="360">
        <f>ROUNDDOWN(SUM(F911:F931),0)</f>
        <v>123744</v>
      </c>
      <c r="G932" s="360" t="e">
        <f>SUM(#REF!)</f>
        <v>#REF!</v>
      </c>
      <c r="H932" s="360" t="e">
        <f>SUM(#REF!)</f>
        <v>#REF!</v>
      </c>
      <c r="I932" s="360">
        <f>SUM(I911:I931)</f>
        <v>50000</v>
      </c>
      <c r="J932" s="360">
        <f>SUM(J911:J931)</f>
        <v>120000</v>
      </c>
      <c r="K932" s="352" t="s">
        <v>534</v>
      </c>
      <c r="L932" s="437" t="s">
        <v>512</v>
      </c>
    </row>
    <row r="933" spans="1:15" ht="25.2" customHeight="1" x14ac:dyDescent="0.4">
      <c r="A933" s="659" t="s">
        <v>18</v>
      </c>
      <c r="B933" s="659"/>
      <c r="C933" s="657">
        <f>C932+D932+E932+F932+I932+J932</f>
        <v>509244</v>
      </c>
      <c r="D933" s="657"/>
      <c r="E933" s="657"/>
      <c r="F933" s="657"/>
      <c r="G933" s="657"/>
      <c r="H933" s="657"/>
      <c r="I933" s="657"/>
      <c r="J933" s="657"/>
      <c r="K933" s="440"/>
      <c r="L933" s="438"/>
    </row>
    <row r="935" spans="1:15" ht="25.2" customHeight="1" x14ac:dyDescent="0.4">
      <c r="A935" s="6" t="s">
        <v>0</v>
      </c>
      <c r="B935" s="6" t="s">
        <v>1</v>
      </c>
      <c r="C935" s="6" t="s">
        <v>4</v>
      </c>
      <c r="D935" s="6" t="s">
        <v>287</v>
      </c>
      <c r="E935" s="6" t="s">
        <v>74</v>
      </c>
      <c r="F935" s="6" t="s">
        <v>3</v>
      </c>
      <c r="G935" s="6" t="s">
        <v>4</v>
      </c>
      <c r="H935" s="6" t="s">
        <v>5</v>
      </c>
      <c r="I935" s="6" t="s">
        <v>521</v>
      </c>
      <c r="J935" s="6" t="s">
        <v>7</v>
      </c>
      <c r="K935" s="6" t="s">
        <v>60</v>
      </c>
      <c r="L935" s="6" t="s">
        <v>8</v>
      </c>
      <c r="O935" s="43">
        <v>1526.31</v>
      </c>
    </row>
    <row r="936" spans="1:15" ht="25.2" customHeight="1" x14ac:dyDescent="0.4">
      <c r="A936" s="648">
        <v>45317</v>
      </c>
      <c r="B936" s="443" t="s">
        <v>390</v>
      </c>
      <c r="C936" s="364"/>
      <c r="D936" s="364"/>
      <c r="E936" s="360">
        <f>1600+1600</f>
        <v>3200</v>
      </c>
      <c r="F936" s="360"/>
      <c r="G936" s="360"/>
      <c r="H936" s="360"/>
      <c r="I936" s="360"/>
      <c r="J936" s="360"/>
      <c r="K936" s="352" t="s">
        <v>539</v>
      </c>
      <c r="L936" s="441" t="s">
        <v>535</v>
      </c>
    </row>
    <row r="937" spans="1:15" ht="25.2" customHeight="1" x14ac:dyDescent="0.4">
      <c r="A937" s="661"/>
      <c r="B937" s="443" t="s">
        <v>390</v>
      </c>
      <c r="C937" s="364"/>
      <c r="D937" s="364">
        <v>3800</v>
      </c>
      <c r="E937" s="360"/>
      <c r="F937" s="360"/>
      <c r="G937" s="360"/>
      <c r="H937" s="360"/>
      <c r="I937" s="360"/>
      <c r="J937" s="360"/>
      <c r="K937" s="352" t="s">
        <v>84</v>
      </c>
      <c r="L937" s="441" t="s">
        <v>296</v>
      </c>
    </row>
    <row r="938" spans="1:15" ht="25.2" customHeight="1" x14ac:dyDescent="0.4">
      <c r="A938" s="661"/>
      <c r="B938" s="443" t="s">
        <v>390</v>
      </c>
      <c r="C938" s="364"/>
      <c r="D938" s="364"/>
      <c r="E938" s="360"/>
      <c r="F938" s="382">
        <f>O938*N938/9</f>
        <v>11192.939999999999</v>
      </c>
      <c r="G938" s="360"/>
      <c r="H938" s="360"/>
      <c r="I938" s="360"/>
      <c r="J938" s="360"/>
      <c r="K938" s="352" t="s">
        <v>63</v>
      </c>
      <c r="L938" s="441" t="s">
        <v>474</v>
      </c>
      <c r="N938" s="1">
        <v>66</v>
      </c>
      <c r="O938" s="366">
        <f>O935</f>
        <v>1526.31</v>
      </c>
    </row>
    <row r="939" spans="1:15" ht="25.2" customHeight="1" x14ac:dyDescent="0.4">
      <c r="A939" s="662" t="s">
        <v>17</v>
      </c>
      <c r="B939" s="662"/>
      <c r="C939" s="360">
        <f>SUM(C936:C938)</f>
        <v>0</v>
      </c>
      <c r="D939" s="360">
        <f>SUM(D936:D938)</f>
        <v>3800</v>
      </c>
      <c r="E939" s="360">
        <f>SUM(E936:E938)</f>
        <v>3200</v>
      </c>
      <c r="F939" s="360">
        <f>ROUNDDOWN(SUM(F936:F938),0)</f>
        <v>11192</v>
      </c>
      <c r="G939" s="360" t="e">
        <f>SUM(#REF!)</f>
        <v>#REF!</v>
      </c>
      <c r="H939" s="360" t="e">
        <f>SUM(#REF!)</f>
        <v>#REF!</v>
      </c>
      <c r="I939" s="360">
        <f>SUM(I936:I938)</f>
        <v>0</v>
      </c>
      <c r="J939" s="360">
        <f>SUM(J936:J938)</f>
        <v>0</v>
      </c>
      <c r="K939" s="352" t="s">
        <v>98</v>
      </c>
      <c r="L939" s="441" t="s">
        <v>536</v>
      </c>
    </row>
    <row r="940" spans="1:15" ht="25.2" customHeight="1" x14ac:dyDescent="0.4">
      <c r="A940" s="659" t="s">
        <v>18</v>
      </c>
      <c r="B940" s="659"/>
      <c r="C940" s="657">
        <f>C939+D939+E939+F939+I939+J939</f>
        <v>18192</v>
      </c>
      <c r="D940" s="657"/>
      <c r="E940" s="657"/>
      <c r="F940" s="657"/>
      <c r="G940" s="657"/>
      <c r="H940" s="657"/>
      <c r="I940" s="657"/>
      <c r="J940" s="657"/>
      <c r="K940" s="444"/>
      <c r="L940" s="442"/>
    </row>
    <row r="942" spans="1:15" ht="25.2" customHeight="1" x14ac:dyDescent="0.4">
      <c r="A942" s="6" t="s">
        <v>0</v>
      </c>
      <c r="B942" s="6" t="s">
        <v>1</v>
      </c>
      <c r="C942" s="6" t="s">
        <v>4</v>
      </c>
      <c r="D942" s="6" t="s">
        <v>287</v>
      </c>
      <c r="E942" s="6" t="s">
        <v>74</v>
      </c>
      <c r="F942" s="6" t="s">
        <v>3</v>
      </c>
      <c r="G942" s="6" t="s">
        <v>4</v>
      </c>
      <c r="H942" s="6" t="s">
        <v>5</v>
      </c>
      <c r="I942" s="6" t="s">
        <v>521</v>
      </c>
      <c r="J942" s="6" t="s">
        <v>7</v>
      </c>
      <c r="K942" s="6" t="s">
        <v>60</v>
      </c>
      <c r="L942" s="6" t="s">
        <v>8</v>
      </c>
      <c r="O942" s="43">
        <v>1526.31</v>
      </c>
    </row>
    <row r="943" spans="1:15" ht="25.2" customHeight="1" x14ac:dyDescent="0.4">
      <c r="A943" s="661">
        <v>45363</v>
      </c>
      <c r="B943" s="447" t="s">
        <v>390</v>
      </c>
      <c r="C943" s="364"/>
      <c r="D943" s="364">
        <v>8000</v>
      </c>
      <c r="E943" s="360"/>
      <c r="F943" s="360"/>
      <c r="G943" s="360"/>
      <c r="H943" s="360"/>
      <c r="I943" s="360"/>
      <c r="J943" s="360"/>
      <c r="K943" s="352" t="s">
        <v>540</v>
      </c>
      <c r="L943" s="445" t="s">
        <v>537</v>
      </c>
    </row>
    <row r="944" spans="1:15" ht="25.2" customHeight="1" x14ac:dyDescent="0.4">
      <c r="A944" s="661"/>
      <c r="B944" s="447" t="s">
        <v>390</v>
      </c>
      <c r="C944" s="364"/>
      <c r="D944" s="364"/>
      <c r="E944" s="360">
        <v>63800</v>
      </c>
      <c r="F944" s="360"/>
      <c r="G944" s="360"/>
      <c r="H944" s="360"/>
      <c r="I944" s="360"/>
      <c r="J944" s="360"/>
      <c r="K944" s="352" t="s">
        <v>545</v>
      </c>
      <c r="L944" s="445" t="s">
        <v>549</v>
      </c>
    </row>
    <row r="945" spans="1:15" ht="25.2" customHeight="1" x14ac:dyDescent="0.4">
      <c r="A945" s="661"/>
      <c r="B945" s="447" t="s">
        <v>390</v>
      </c>
      <c r="C945" s="364"/>
      <c r="D945" s="364"/>
      <c r="E945" s="360">
        <v>21200</v>
      </c>
      <c r="F945" s="360"/>
      <c r="G945" s="360"/>
      <c r="H945" s="360"/>
      <c r="I945" s="360"/>
      <c r="J945" s="360"/>
      <c r="K945" s="352" t="s">
        <v>546</v>
      </c>
      <c r="L945" s="445" t="s">
        <v>550</v>
      </c>
    </row>
    <row r="946" spans="1:15" ht="25.2" customHeight="1" x14ac:dyDescent="0.4">
      <c r="A946" s="661"/>
      <c r="B946" s="447" t="s">
        <v>390</v>
      </c>
      <c r="C946" s="364"/>
      <c r="D946" s="364"/>
      <c r="E946" s="360">
        <v>64800</v>
      </c>
      <c r="F946" s="360"/>
      <c r="G946" s="360"/>
      <c r="H946" s="360"/>
      <c r="I946" s="360"/>
      <c r="J946" s="360"/>
      <c r="K946" s="352" t="s">
        <v>547</v>
      </c>
      <c r="L946" s="445" t="s">
        <v>551</v>
      </c>
    </row>
    <row r="947" spans="1:15" ht="25.2" customHeight="1" x14ac:dyDescent="0.4">
      <c r="A947" s="661"/>
      <c r="B947" s="447" t="s">
        <v>390</v>
      </c>
      <c r="C947" s="364"/>
      <c r="D947" s="364"/>
      <c r="E947" s="360">
        <v>11200</v>
      </c>
      <c r="F947" s="360"/>
      <c r="G947" s="360"/>
      <c r="H947" s="360"/>
      <c r="I947" s="360"/>
      <c r="J947" s="360"/>
      <c r="K947" s="352" t="s">
        <v>548</v>
      </c>
      <c r="L947" s="445" t="s">
        <v>552</v>
      </c>
    </row>
    <row r="948" spans="1:15" ht="25.2" customHeight="1" x14ac:dyDescent="0.4">
      <c r="A948" s="661"/>
      <c r="B948" s="447" t="s">
        <v>390</v>
      </c>
      <c r="C948" s="364"/>
      <c r="D948" s="364"/>
      <c r="E948" s="360"/>
      <c r="F948" s="360"/>
      <c r="G948" s="360"/>
      <c r="H948" s="360"/>
      <c r="I948" s="360"/>
      <c r="J948" s="360">
        <v>8400</v>
      </c>
      <c r="K948" s="352" t="s">
        <v>543</v>
      </c>
      <c r="L948" s="445" t="s">
        <v>556</v>
      </c>
    </row>
    <row r="949" spans="1:15" ht="25.2" customHeight="1" x14ac:dyDescent="0.4">
      <c r="A949" s="661"/>
      <c r="B949" s="447" t="s">
        <v>390</v>
      </c>
      <c r="C949" s="364"/>
      <c r="D949" s="364"/>
      <c r="E949" s="360"/>
      <c r="F949" s="360"/>
      <c r="G949" s="360"/>
      <c r="H949" s="360"/>
      <c r="I949" s="360"/>
      <c r="J949" s="360">
        <v>14800</v>
      </c>
      <c r="K949" s="352" t="s">
        <v>541</v>
      </c>
      <c r="L949" s="445" t="s">
        <v>553</v>
      </c>
    </row>
    <row r="950" spans="1:15" ht="25.2" customHeight="1" x14ac:dyDescent="0.4">
      <c r="A950" s="661"/>
      <c r="B950" s="447" t="s">
        <v>390</v>
      </c>
      <c r="C950" s="364"/>
      <c r="D950" s="364"/>
      <c r="E950" s="360">
        <v>11400</v>
      </c>
      <c r="F950" s="360"/>
      <c r="G950" s="360"/>
      <c r="H950" s="360"/>
      <c r="I950" s="360"/>
      <c r="J950" s="360"/>
      <c r="K950" s="352" t="s">
        <v>542</v>
      </c>
      <c r="L950" s="445" t="s">
        <v>554</v>
      </c>
    </row>
    <row r="951" spans="1:15" ht="25.2" customHeight="1" x14ac:dyDescent="0.4">
      <c r="A951" s="661"/>
      <c r="B951" s="447" t="s">
        <v>390</v>
      </c>
      <c r="C951" s="364"/>
      <c r="D951" s="364"/>
      <c r="E951" s="360">
        <v>9900</v>
      </c>
      <c r="F951" s="360"/>
      <c r="G951" s="360"/>
      <c r="H951" s="360"/>
      <c r="I951" s="360"/>
      <c r="J951" s="360"/>
      <c r="K951" s="352" t="s">
        <v>544</v>
      </c>
      <c r="L951" s="445" t="s">
        <v>555</v>
      </c>
    </row>
    <row r="952" spans="1:15" ht="25.2" customHeight="1" x14ac:dyDescent="0.4">
      <c r="A952" s="661"/>
      <c r="B952" s="447" t="s">
        <v>390</v>
      </c>
      <c r="C952" s="364"/>
      <c r="D952" s="364"/>
      <c r="E952" s="360"/>
      <c r="F952" s="382">
        <f>O952*N952/9</f>
        <v>0</v>
      </c>
      <c r="G952" s="360"/>
      <c r="H952" s="360"/>
      <c r="I952" s="360"/>
      <c r="J952" s="360"/>
      <c r="K952" s="352" t="s">
        <v>63</v>
      </c>
      <c r="L952" s="445" t="s">
        <v>538</v>
      </c>
      <c r="N952" s="1">
        <v>0</v>
      </c>
      <c r="O952" s="366">
        <f>O942</f>
        <v>1526.31</v>
      </c>
    </row>
    <row r="953" spans="1:15" ht="25.2" customHeight="1" x14ac:dyDescent="0.4">
      <c r="A953" s="662" t="s">
        <v>17</v>
      </c>
      <c r="B953" s="662"/>
      <c r="C953" s="360">
        <f>SUM(C943:C952)</f>
        <v>0</v>
      </c>
      <c r="D953" s="360">
        <f>SUM(D943:D952)</f>
        <v>8000</v>
      </c>
      <c r="E953" s="360">
        <f>SUM(E943:E952)</f>
        <v>182300</v>
      </c>
      <c r="F953" s="360">
        <f>ROUNDDOWN(SUM(F943:F952),0)</f>
        <v>0</v>
      </c>
      <c r="G953" s="360" t="e">
        <f>SUM(#REF!)</f>
        <v>#REF!</v>
      </c>
      <c r="H953" s="360" t="e">
        <f>SUM(#REF!)</f>
        <v>#REF!</v>
      </c>
      <c r="I953" s="360">
        <f>SUM(I943:I952)</f>
        <v>0</v>
      </c>
      <c r="J953" s="360">
        <f>SUM(J943:J952)</f>
        <v>23200</v>
      </c>
      <c r="K953" s="352"/>
      <c r="L953" s="445" t="s">
        <v>536</v>
      </c>
    </row>
    <row r="954" spans="1:15" ht="25.2" customHeight="1" x14ac:dyDescent="0.4">
      <c r="A954" s="659" t="s">
        <v>18</v>
      </c>
      <c r="B954" s="659"/>
      <c r="C954" s="657">
        <f>C953+D953+E953+F953+I953+J953</f>
        <v>213500</v>
      </c>
      <c r="D954" s="657"/>
      <c r="E954" s="657"/>
      <c r="F954" s="657"/>
      <c r="G954" s="657"/>
      <c r="H954" s="657"/>
      <c r="I954" s="657"/>
      <c r="J954" s="657"/>
      <c r="K954" s="448"/>
      <c r="L954" s="446"/>
    </row>
    <row r="956" spans="1:15" ht="25.2" customHeight="1" x14ac:dyDescent="0.4">
      <c r="A956" s="6" t="s">
        <v>0</v>
      </c>
      <c r="B956" s="6" t="s">
        <v>1</v>
      </c>
      <c r="C956" s="6" t="s">
        <v>557</v>
      </c>
      <c r="D956" s="6" t="s">
        <v>287</v>
      </c>
      <c r="E956" s="6" t="s">
        <v>74</v>
      </c>
      <c r="F956" s="6" t="s">
        <v>3</v>
      </c>
      <c r="G956" s="6" t="s">
        <v>4</v>
      </c>
      <c r="H956" s="6" t="s">
        <v>5</v>
      </c>
      <c r="I956" s="6" t="s">
        <v>521</v>
      </c>
      <c r="J956" s="6" t="s">
        <v>7</v>
      </c>
      <c r="K956" s="6" t="s">
        <v>60</v>
      </c>
      <c r="L956" s="6" t="s">
        <v>8</v>
      </c>
      <c r="O956" s="43">
        <v>1526.31</v>
      </c>
    </row>
    <row r="957" spans="1:15" ht="25.2" customHeight="1" x14ac:dyDescent="0.4">
      <c r="A957" s="661">
        <v>45380</v>
      </c>
      <c r="B957" s="451" t="s">
        <v>390</v>
      </c>
      <c r="C957" s="364">
        <v>210000</v>
      </c>
      <c r="D957" s="364">
        <v>0</v>
      </c>
      <c r="E957" s="360"/>
      <c r="F957" s="360"/>
      <c r="G957" s="360"/>
      <c r="H957" s="360"/>
      <c r="I957" s="360"/>
      <c r="J957" s="360"/>
      <c r="K957" s="352" t="s">
        <v>204</v>
      </c>
      <c r="L957" s="453" t="s">
        <v>558</v>
      </c>
    </row>
    <row r="958" spans="1:15" ht="25.2" customHeight="1" x14ac:dyDescent="0.4">
      <c r="A958" s="661"/>
      <c r="B958" s="451" t="s">
        <v>390</v>
      </c>
      <c r="C958" s="364">
        <v>0</v>
      </c>
      <c r="D958" s="364"/>
      <c r="E958" s="360"/>
      <c r="F958" s="382">
        <f>O958*N958/9</f>
        <v>0</v>
      </c>
      <c r="G958" s="360"/>
      <c r="H958" s="360"/>
      <c r="I958" s="360"/>
      <c r="J958" s="360"/>
      <c r="K958" s="352" t="s">
        <v>63</v>
      </c>
      <c r="L958" s="449" t="s">
        <v>538</v>
      </c>
      <c r="N958" s="1">
        <v>0</v>
      </c>
      <c r="O958" s="366">
        <f>O956</f>
        <v>1526.31</v>
      </c>
    </row>
    <row r="959" spans="1:15" ht="25.2" customHeight="1" x14ac:dyDescent="0.4">
      <c r="A959" s="662" t="s">
        <v>17</v>
      </c>
      <c r="B959" s="662"/>
      <c r="C959" s="360">
        <f>SUM(C957:C958)</f>
        <v>210000</v>
      </c>
      <c r="D959" s="360">
        <f>SUM(D957:D958)</f>
        <v>0</v>
      </c>
      <c r="E959" s="360">
        <f>SUM(E957:E958)</f>
        <v>0</v>
      </c>
      <c r="F959" s="360">
        <f>ROUNDDOWN(SUM(F957:F958),0)</f>
        <v>0</v>
      </c>
      <c r="G959" s="360" t="e">
        <f>SUM(#REF!)</f>
        <v>#REF!</v>
      </c>
      <c r="H959" s="360" t="e">
        <f>SUM(#REF!)</f>
        <v>#REF!</v>
      </c>
      <c r="I959" s="360">
        <f>SUM(I957:I958)</f>
        <v>0</v>
      </c>
      <c r="J959" s="360">
        <f>SUM(J957:J958)</f>
        <v>0</v>
      </c>
      <c r="K959" s="352"/>
      <c r="L959" s="449" t="s">
        <v>536</v>
      </c>
    </row>
    <row r="960" spans="1:15" ht="25.2" customHeight="1" x14ac:dyDescent="0.4">
      <c r="A960" s="659" t="s">
        <v>18</v>
      </c>
      <c r="B960" s="659"/>
      <c r="C960" s="657">
        <f>C959+D959+E959+F959+I959+J959</f>
        <v>210000</v>
      </c>
      <c r="D960" s="657"/>
      <c r="E960" s="657"/>
      <c r="F960" s="657"/>
      <c r="G960" s="657"/>
      <c r="H960" s="657"/>
      <c r="I960" s="657"/>
      <c r="J960" s="657"/>
      <c r="K960" s="452"/>
      <c r="L960" s="450"/>
    </row>
    <row r="962" spans="1:15" ht="25.2" customHeight="1" x14ac:dyDescent="0.4">
      <c r="A962" s="6" t="s">
        <v>0</v>
      </c>
      <c r="B962" s="6" t="s">
        <v>1</v>
      </c>
      <c r="C962" s="6" t="s">
        <v>4</v>
      </c>
      <c r="D962" s="6" t="s">
        <v>287</v>
      </c>
      <c r="E962" s="6" t="s">
        <v>74</v>
      </c>
      <c r="F962" s="6" t="s">
        <v>3</v>
      </c>
      <c r="G962" s="6" t="s">
        <v>4</v>
      </c>
      <c r="H962" s="6" t="s">
        <v>5</v>
      </c>
      <c r="I962" s="6" t="s">
        <v>521</v>
      </c>
      <c r="J962" s="6" t="s">
        <v>7</v>
      </c>
      <c r="K962" s="6" t="s">
        <v>60</v>
      </c>
      <c r="L962" s="6" t="s">
        <v>8</v>
      </c>
      <c r="O962" s="43">
        <v>1526.31</v>
      </c>
    </row>
    <row r="963" spans="1:15" ht="25.2" customHeight="1" x14ac:dyDescent="0.4">
      <c r="A963" s="661">
        <v>45382</v>
      </c>
      <c r="B963" s="451" t="s">
        <v>390</v>
      </c>
      <c r="C963" s="364"/>
      <c r="D963" s="364"/>
      <c r="E963" s="360"/>
      <c r="F963" s="360"/>
      <c r="G963" s="360"/>
      <c r="H963" s="360"/>
      <c r="I963" s="360">
        <v>20000</v>
      </c>
      <c r="J963" s="360"/>
      <c r="K963" s="352" t="s">
        <v>271</v>
      </c>
      <c r="L963" s="449" t="s">
        <v>565</v>
      </c>
    </row>
    <row r="964" spans="1:15" ht="25.2" customHeight="1" x14ac:dyDescent="0.4">
      <c r="A964" s="661"/>
      <c r="B964" s="451" t="s">
        <v>390</v>
      </c>
      <c r="C964" s="364"/>
      <c r="D964" s="364"/>
      <c r="E964" s="360"/>
      <c r="F964" s="360"/>
      <c r="G964" s="360"/>
      <c r="H964" s="360"/>
      <c r="I964" s="360"/>
      <c r="J964" s="360">
        <v>8000</v>
      </c>
      <c r="K964" s="352" t="s">
        <v>271</v>
      </c>
      <c r="L964" s="449" t="s">
        <v>563</v>
      </c>
    </row>
    <row r="965" spans="1:15" ht="25.2" customHeight="1" x14ac:dyDescent="0.4">
      <c r="A965" s="661"/>
      <c r="B965" s="451" t="s">
        <v>390</v>
      </c>
      <c r="C965" s="364"/>
      <c r="D965" s="364"/>
      <c r="E965" s="360">
        <v>40500</v>
      </c>
      <c r="F965" s="360"/>
      <c r="G965" s="360"/>
      <c r="H965" s="360"/>
      <c r="I965" s="360"/>
      <c r="J965" s="360"/>
      <c r="K965" s="352" t="s">
        <v>561</v>
      </c>
      <c r="L965" s="449" t="s">
        <v>564</v>
      </c>
    </row>
    <row r="966" spans="1:15" ht="25.2" customHeight="1" x14ac:dyDescent="0.4">
      <c r="A966" s="661"/>
      <c r="B966" s="451" t="s">
        <v>390</v>
      </c>
      <c r="C966" s="364"/>
      <c r="D966" s="364"/>
      <c r="E966" s="360">
        <v>16220</v>
      </c>
      <c r="F966" s="360"/>
      <c r="G966" s="360"/>
      <c r="H966" s="360"/>
      <c r="I966" s="360"/>
      <c r="J966" s="360"/>
      <c r="K966" s="352" t="s">
        <v>91</v>
      </c>
      <c r="L966" s="449" t="s">
        <v>560</v>
      </c>
    </row>
    <row r="967" spans="1:15" ht="25.2" customHeight="1" x14ac:dyDescent="0.4">
      <c r="A967" s="661"/>
      <c r="B967" s="451" t="s">
        <v>390</v>
      </c>
      <c r="C967" s="364">
        <v>65000</v>
      </c>
      <c r="D967" s="364"/>
      <c r="E967" s="360"/>
      <c r="F967" s="360"/>
      <c r="G967" s="360"/>
      <c r="H967" s="360"/>
      <c r="I967" s="360"/>
      <c r="J967" s="360"/>
      <c r="K967" s="352" t="s">
        <v>562</v>
      </c>
      <c r="L967" s="449" t="s">
        <v>559</v>
      </c>
    </row>
    <row r="968" spans="1:15" ht="25.2" customHeight="1" x14ac:dyDescent="0.4">
      <c r="A968" s="661"/>
      <c r="B968" s="451" t="s">
        <v>390</v>
      </c>
      <c r="C968" s="364"/>
      <c r="D968" s="364"/>
      <c r="E968" s="360"/>
      <c r="F968" s="382">
        <f>O968*N968/9</f>
        <v>0</v>
      </c>
      <c r="G968" s="360"/>
      <c r="H968" s="360"/>
      <c r="I968" s="360"/>
      <c r="J968" s="360"/>
      <c r="K968" s="352" t="s">
        <v>63</v>
      </c>
      <c r="L968" s="449" t="s">
        <v>538</v>
      </c>
      <c r="N968" s="1">
        <v>0</v>
      </c>
      <c r="O968" s="366">
        <f>O962</f>
        <v>1526.31</v>
      </c>
    </row>
    <row r="969" spans="1:15" ht="25.2" customHeight="1" x14ac:dyDescent="0.4">
      <c r="A969" s="662" t="s">
        <v>17</v>
      </c>
      <c r="B969" s="662"/>
      <c r="C969" s="360">
        <f>SUM(C963:C968)</f>
        <v>65000</v>
      </c>
      <c r="D969" s="360">
        <f>SUM(D963:D968)</f>
        <v>0</v>
      </c>
      <c r="E969" s="360">
        <f>SUM(E963:E968)</f>
        <v>56720</v>
      </c>
      <c r="F969" s="360">
        <f>ROUNDDOWN(SUM(F963:F968),0)</f>
        <v>0</v>
      </c>
      <c r="G969" s="360" t="e">
        <f>SUM(#REF!)</f>
        <v>#REF!</v>
      </c>
      <c r="H969" s="360" t="e">
        <f>SUM(#REF!)</f>
        <v>#REF!</v>
      </c>
      <c r="I969" s="360">
        <f>SUM(I963:I968)</f>
        <v>20000</v>
      </c>
      <c r="J969" s="360">
        <f>SUM(J963:J968)</f>
        <v>8000</v>
      </c>
      <c r="K969" s="352"/>
      <c r="L969" s="449" t="s">
        <v>536</v>
      </c>
    </row>
    <row r="970" spans="1:15" ht="25.2" customHeight="1" x14ac:dyDescent="0.4">
      <c r="A970" s="659" t="s">
        <v>18</v>
      </c>
      <c r="B970" s="659"/>
      <c r="C970" s="657">
        <f>C969+D969+E969+F969+I969+J969</f>
        <v>149720</v>
      </c>
      <c r="D970" s="657"/>
      <c r="E970" s="657"/>
      <c r="F970" s="657"/>
      <c r="G970" s="657"/>
      <c r="H970" s="657"/>
      <c r="I970" s="657"/>
      <c r="J970" s="657"/>
      <c r="K970" s="452"/>
      <c r="L970" s="450"/>
    </row>
    <row r="972" spans="1:15" ht="25.2" customHeight="1" x14ac:dyDescent="0.4">
      <c r="A972" s="6" t="s">
        <v>0</v>
      </c>
      <c r="B972" s="6" t="s">
        <v>1</v>
      </c>
      <c r="C972" s="6" t="s">
        <v>4</v>
      </c>
      <c r="D972" s="6" t="s">
        <v>287</v>
      </c>
      <c r="E972" s="6" t="s">
        <v>74</v>
      </c>
      <c r="F972" s="6" t="s">
        <v>3</v>
      </c>
      <c r="G972" s="6" t="s">
        <v>4</v>
      </c>
      <c r="H972" s="6" t="s">
        <v>5</v>
      </c>
      <c r="I972" s="6" t="s">
        <v>521</v>
      </c>
      <c r="J972" s="6" t="s">
        <v>7</v>
      </c>
      <c r="K972" s="6" t="s">
        <v>60</v>
      </c>
      <c r="L972" s="6" t="s">
        <v>8</v>
      </c>
      <c r="O972" s="43">
        <v>1538.97</v>
      </c>
    </row>
    <row r="973" spans="1:15" ht="25.2" customHeight="1" x14ac:dyDescent="0.4">
      <c r="A973" s="660">
        <v>45383</v>
      </c>
      <c r="B973" s="456" t="s">
        <v>390</v>
      </c>
      <c r="C973" s="364"/>
      <c r="D973" s="364"/>
      <c r="E973" s="360"/>
      <c r="F973" s="360"/>
      <c r="G973" s="360"/>
      <c r="H973" s="360"/>
      <c r="I973" s="360">
        <v>10000</v>
      </c>
      <c r="J973" s="360"/>
      <c r="K973" s="352" t="s">
        <v>271</v>
      </c>
      <c r="L973" s="454" t="s">
        <v>565</v>
      </c>
    </row>
    <row r="974" spans="1:15" ht="25.2" customHeight="1" x14ac:dyDescent="0.4">
      <c r="A974" s="660"/>
      <c r="B974" s="456" t="s">
        <v>390</v>
      </c>
      <c r="C974" s="364"/>
      <c r="D974" s="364"/>
      <c r="E974" s="360"/>
      <c r="F974" s="360"/>
      <c r="G974" s="360"/>
      <c r="H974" s="360"/>
      <c r="I974" s="360"/>
      <c r="J974" s="360">
        <v>8000</v>
      </c>
      <c r="K974" s="352" t="s">
        <v>271</v>
      </c>
      <c r="L974" s="454" t="s">
        <v>563</v>
      </c>
    </row>
    <row r="975" spans="1:15" ht="25.2" customHeight="1" x14ac:dyDescent="0.4">
      <c r="A975" s="660"/>
      <c r="B975" s="456" t="s">
        <v>390</v>
      </c>
      <c r="C975" s="364">
        <v>70000</v>
      </c>
      <c r="D975" s="364"/>
      <c r="E975" s="360"/>
      <c r="F975" s="360"/>
      <c r="G975" s="360"/>
      <c r="H975" s="360"/>
      <c r="I975" s="360"/>
      <c r="J975" s="360"/>
      <c r="K975" s="352" t="s">
        <v>204</v>
      </c>
      <c r="L975" s="454" t="s">
        <v>559</v>
      </c>
    </row>
    <row r="976" spans="1:15" ht="25.2" customHeight="1" x14ac:dyDescent="0.4">
      <c r="A976" s="660">
        <v>45384</v>
      </c>
      <c r="B976" s="456" t="s">
        <v>390</v>
      </c>
      <c r="C976" s="364"/>
      <c r="D976" s="364"/>
      <c r="E976" s="360"/>
      <c r="F976" s="360"/>
      <c r="G976" s="360"/>
      <c r="H976" s="360"/>
      <c r="I976" s="360">
        <v>10000</v>
      </c>
      <c r="J976" s="360"/>
      <c r="K976" s="352" t="s">
        <v>271</v>
      </c>
      <c r="L976" s="454" t="s">
        <v>566</v>
      </c>
    </row>
    <row r="977" spans="1:12" ht="25.2" customHeight="1" x14ac:dyDescent="0.4">
      <c r="A977" s="660"/>
      <c r="B977" s="456" t="s">
        <v>390</v>
      </c>
      <c r="C977" s="364"/>
      <c r="D977" s="364"/>
      <c r="E977" s="360"/>
      <c r="F977" s="360"/>
      <c r="G977" s="360"/>
      <c r="H977" s="360"/>
      <c r="I977" s="360"/>
      <c r="J977" s="360">
        <f>8000*3</f>
        <v>24000</v>
      </c>
      <c r="K977" s="352" t="s">
        <v>271</v>
      </c>
      <c r="L977" s="454" t="s">
        <v>582</v>
      </c>
    </row>
    <row r="978" spans="1:12" ht="25.2" customHeight="1" x14ac:dyDescent="0.4">
      <c r="A978" s="660"/>
      <c r="B978" s="456" t="s">
        <v>390</v>
      </c>
      <c r="C978" s="364">
        <v>67500</v>
      </c>
      <c r="D978" s="364"/>
      <c r="E978" s="360"/>
      <c r="F978" s="360"/>
      <c r="G978" s="360"/>
      <c r="H978" s="360"/>
      <c r="I978" s="360"/>
      <c r="J978" s="360"/>
      <c r="K978" s="352" t="s">
        <v>567</v>
      </c>
      <c r="L978" s="454" t="s">
        <v>559</v>
      </c>
    </row>
    <row r="979" spans="1:12" ht="25.2" customHeight="1" x14ac:dyDescent="0.4">
      <c r="A979" s="660">
        <v>45385</v>
      </c>
      <c r="B979" s="456" t="s">
        <v>390</v>
      </c>
      <c r="C979" s="364"/>
      <c r="D979" s="364"/>
      <c r="E979" s="360"/>
      <c r="F979" s="360"/>
      <c r="G979" s="360"/>
      <c r="H979" s="360"/>
      <c r="I979" s="360">
        <v>10000</v>
      </c>
      <c r="J979" s="360"/>
      <c r="K979" s="352" t="s">
        <v>271</v>
      </c>
      <c r="L979" s="454" t="s">
        <v>566</v>
      </c>
    </row>
    <row r="980" spans="1:12" ht="25.2" customHeight="1" x14ac:dyDescent="0.4">
      <c r="A980" s="660"/>
      <c r="B980" s="456" t="s">
        <v>390</v>
      </c>
      <c r="C980" s="364"/>
      <c r="D980" s="364"/>
      <c r="E980" s="360"/>
      <c r="F980" s="360"/>
      <c r="G980" s="360"/>
      <c r="H980" s="360"/>
      <c r="I980" s="360"/>
      <c r="J980" s="360">
        <f>8000*3</f>
        <v>24000</v>
      </c>
      <c r="K980" s="352" t="s">
        <v>271</v>
      </c>
      <c r="L980" s="454" t="s">
        <v>583</v>
      </c>
    </row>
    <row r="981" spans="1:12" ht="25.2" customHeight="1" x14ac:dyDescent="0.4">
      <c r="A981" s="660"/>
      <c r="B981" s="456" t="s">
        <v>390</v>
      </c>
      <c r="C981" s="364">
        <v>67500</v>
      </c>
      <c r="D981" s="364"/>
      <c r="E981" s="360"/>
      <c r="F981" s="360"/>
      <c r="G981" s="360"/>
      <c r="H981" s="360"/>
      <c r="I981" s="360"/>
      <c r="J981" s="360"/>
      <c r="K981" s="352" t="s">
        <v>568</v>
      </c>
      <c r="L981" s="454" t="s">
        <v>559</v>
      </c>
    </row>
    <row r="982" spans="1:12" ht="25.2" customHeight="1" x14ac:dyDescent="0.4">
      <c r="A982" s="660">
        <v>45386</v>
      </c>
      <c r="B982" s="456" t="s">
        <v>390</v>
      </c>
      <c r="C982" s="364"/>
      <c r="D982" s="364"/>
      <c r="E982" s="360"/>
      <c r="F982" s="360"/>
      <c r="G982" s="360"/>
      <c r="H982" s="360"/>
      <c r="I982" s="360">
        <v>10000</v>
      </c>
      <c r="J982" s="360"/>
      <c r="K982" s="352" t="s">
        <v>271</v>
      </c>
      <c r="L982" s="454" t="s">
        <v>566</v>
      </c>
    </row>
    <row r="983" spans="1:12" ht="25.2" customHeight="1" x14ac:dyDescent="0.4">
      <c r="A983" s="660"/>
      <c r="B983" s="456" t="s">
        <v>390</v>
      </c>
      <c r="C983" s="364"/>
      <c r="D983" s="364"/>
      <c r="E983" s="360"/>
      <c r="F983" s="360"/>
      <c r="G983" s="360"/>
      <c r="H983" s="360"/>
      <c r="I983" s="360"/>
      <c r="J983" s="360">
        <f>8000*3</f>
        <v>24000</v>
      </c>
      <c r="K983" s="352" t="s">
        <v>271</v>
      </c>
      <c r="L983" s="454" t="s">
        <v>582</v>
      </c>
    </row>
    <row r="984" spans="1:12" ht="25.2" customHeight="1" x14ac:dyDescent="0.4">
      <c r="A984" s="660"/>
      <c r="B984" s="456" t="s">
        <v>390</v>
      </c>
      <c r="C984" s="364">
        <v>67500</v>
      </c>
      <c r="D984" s="364"/>
      <c r="E984" s="360"/>
      <c r="F984" s="360"/>
      <c r="G984" s="360"/>
      <c r="H984" s="360"/>
      <c r="I984" s="360"/>
      <c r="J984" s="360"/>
      <c r="K984" s="352" t="s">
        <v>85</v>
      </c>
      <c r="L984" s="454" t="s">
        <v>559</v>
      </c>
    </row>
    <row r="985" spans="1:12" ht="25.2" customHeight="1" x14ac:dyDescent="0.4">
      <c r="A985" s="660">
        <v>45387</v>
      </c>
      <c r="B985" s="456" t="s">
        <v>390</v>
      </c>
      <c r="C985" s="364"/>
      <c r="D985" s="364"/>
      <c r="E985" s="360"/>
      <c r="F985" s="360"/>
      <c r="G985" s="360"/>
      <c r="H985" s="360"/>
      <c r="I985" s="360">
        <v>10000</v>
      </c>
      <c r="J985" s="360"/>
      <c r="K985" s="352" t="s">
        <v>271</v>
      </c>
      <c r="L985" s="454" t="s">
        <v>566</v>
      </c>
    </row>
    <row r="986" spans="1:12" ht="25.2" customHeight="1" x14ac:dyDescent="0.4">
      <c r="A986" s="660"/>
      <c r="B986" s="456" t="s">
        <v>390</v>
      </c>
      <c r="C986" s="364"/>
      <c r="D986" s="364"/>
      <c r="E986" s="360"/>
      <c r="F986" s="360"/>
      <c r="G986" s="360"/>
      <c r="H986" s="360"/>
      <c r="I986" s="360"/>
      <c r="J986" s="360">
        <f>8000*3</f>
        <v>24000</v>
      </c>
      <c r="K986" s="352" t="s">
        <v>271</v>
      </c>
      <c r="L986" s="454" t="s">
        <v>584</v>
      </c>
    </row>
    <row r="987" spans="1:12" ht="25.2" customHeight="1" x14ac:dyDescent="0.4">
      <c r="A987" s="660">
        <v>45389</v>
      </c>
      <c r="B987" s="456" t="s">
        <v>390</v>
      </c>
      <c r="C987" s="364"/>
      <c r="D987" s="364"/>
      <c r="E987" s="360"/>
      <c r="F987" s="360"/>
      <c r="G987" s="360"/>
      <c r="H987" s="360"/>
      <c r="I987" s="360">
        <v>20000</v>
      </c>
      <c r="J987" s="360"/>
      <c r="K987" s="352" t="s">
        <v>271</v>
      </c>
      <c r="L987" s="454" t="s">
        <v>565</v>
      </c>
    </row>
    <row r="988" spans="1:12" ht="25.2" customHeight="1" x14ac:dyDescent="0.4">
      <c r="A988" s="660"/>
      <c r="B988" s="456" t="s">
        <v>390</v>
      </c>
      <c r="C988" s="364"/>
      <c r="D988" s="364"/>
      <c r="E988" s="360"/>
      <c r="F988" s="360"/>
      <c r="G988" s="360"/>
      <c r="H988" s="360"/>
      <c r="I988" s="360"/>
      <c r="J988" s="360">
        <f>8000*1</f>
        <v>8000</v>
      </c>
      <c r="K988" s="352" t="s">
        <v>271</v>
      </c>
      <c r="L988" s="454" t="s">
        <v>563</v>
      </c>
    </row>
    <row r="989" spans="1:12" ht="25.2" customHeight="1" x14ac:dyDescent="0.4">
      <c r="A989" s="660"/>
      <c r="B989" s="456" t="s">
        <v>390</v>
      </c>
      <c r="C989" s="364"/>
      <c r="D989" s="364"/>
      <c r="E989" s="360">
        <v>12100</v>
      </c>
      <c r="F989" s="360"/>
      <c r="G989" s="360"/>
      <c r="H989" s="360"/>
      <c r="I989" s="360"/>
      <c r="J989" s="360"/>
      <c r="K989" s="352" t="s">
        <v>99</v>
      </c>
      <c r="L989" s="454" t="s">
        <v>571</v>
      </c>
    </row>
    <row r="990" spans="1:12" ht="25.2" customHeight="1" x14ac:dyDescent="0.4">
      <c r="A990" s="660"/>
      <c r="B990" s="456" t="s">
        <v>390</v>
      </c>
      <c r="C990" s="364"/>
      <c r="D990" s="364"/>
      <c r="E990" s="360">
        <v>4200</v>
      </c>
      <c r="F990" s="360"/>
      <c r="G990" s="360"/>
      <c r="H990" s="360"/>
      <c r="I990" s="360"/>
      <c r="J990" s="360"/>
      <c r="K990" s="352" t="s">
        <v>576</v>
      </c>
      <c r="L990" s="454" t="s">
        <v>572</v>
      </c>
    </row>
    <row r="991" spans="1:12" ht="25.2" customHeight="1" x14ac:dyDescent="0.4">
      <c r="A991" s="660"/>
      <c r="B991" s="456" t="s">
        <v>390</v>
      </c>
      <c r="C991" s="364"/>
      <c r="D991" s="364"/>
      <c r="E991" s="360">
        <v>5200</v>
      </c>
      <c r="F991" s="360"/>
      <c r="G991" s="360"/>
      <c r="H991" s="360"/>
      <c r="I991" s="360"/>
      <c r="J991" s="360"/>
      <c r="K991" s="352" t="s">
        <v>576</v>
      </c>
      <c r="L991" s="454" t="s">
        <v>573</v>
      </c>
    </row>
    <row r="992" spans="1:12" ht="25.2" customHeight="1" x14ac:dyDescent="0.4">
      <c r="A992" s="660"/>
      <c r="B992" s="456" t="s">
        <v>390</v>
      </c>
      <c r="C992" s="364">
        <v>67500</v>
      </c>
      <c r="D992" s="364"/>
      <c r="E992" s="360"/>
      <c r="F992" s="360"/>
      <c r="G992" s="360"/>
      <c r="H992" s="360"/>
      <c r="I992" s="360"/>
      <c r="J992" s="360"/>
      <c r="K992" s="352" t="s">
        <v>569</v>
      </c>
      <c r="L992" s="454" t="s">
        <v>559</v>
      </c>
    </row>
    <row r="993" spans="1:15" ht="25.2" customHeight="1" x14ac:dyDescent="0.4">
      <c r="A993" s="660"/>
      <c r="B993" s="456" t="s">
        <v>390</v>
      </c>
      <c r="C993" s="364"/>
      <c r="D993" s="364"/>
      <c r="E993" s="360"/>
      <c r="F993" s="382">
        <f>O993*N993/9</f>
        <v>60300.264533333335</v>
      </c>
      <c r="G993" s="360"/>
      <c r="H993" s="360"/>
      <c r="I993" s="360"/>
      <c r="J993" s="360"/>
      <c r="K993" s="352" t="s">
        <v>581</v>
      </c>
      <c r="L993" s="454" t="s">
        <v>587</v>
      </c>
      <c r="N993" s="1">
        <v>352.64</v>
      </c>
      <c r="O993" s="366">
        <f>O972</f>
        <v>1538.97</v>
      </c>
    </row>
    <row r="994" spans="1:15" ht="25.2" customHeight="1" x14ac:dyDescent="0.4">
      <c r="A994" s="660">
        <v>45390</v>
      </c>
      <c r="B994" s="456" t="s">
        <v>390</v>
      </c>
      <c r="C994" s="364"/>
      <c r="D994" s="364"/>
      <c r="E994" s="360"/>
      <c r="F994" s="360"/>
      <c r="G994" s="360"/>
      <c r="H994" s="360"/>
      <c r="I994" s="360">
        <v>10000</v>
      </c>
      <c r="J994" s="360"/>
      <c r="K994" s="352" t="s">
        <v>271</v>
      </c>
      <c r="L994" s="454" t="s">
        <v>566</v>
      </c>
    </row>
    <row r="995" spans="1:15" ht="25.2" customHeight="1" x14ac:dyDescent="0.4">
      <c r="A995" s="660"/>
      <c r="B995" s="456" t="s">
        <v>390</v>
      </c>
      <c r="C995" s="364"/>
      <c r="D995" s="364"/>
      <c r="E995" s="360"/>
      <c r="F995" s="360"/>
      <c r="G995" s="360"/>
      <c r="H995" s="360"/>
      <c r="I995" s="360"/>
      <c r="J995" s="360">
        <f>8000*1</f>
        <v>8000</v>
      </c>
      <c r="K995" s="352" t="s">
        <v>271</v>
      </c>
      <c r="L995" s="454" t="s">
        <v>585</v>
      </c>
    </row>
    <row r="996" spans="1:15" ht="25.2" customHeight="1" x14ac:dyDescent="0.4">
      <c r="A996" s="660"/>
      <c r="B996" s="456" t="s">
        <v>390</v>
      </c>
      <c r="C996" s="364">
        <v>53100</v>
      </c>
      <c r="D996" s="364"/>
      <c r="E996" s="360"/>
      <c r="F996" s="360"/>
      <c r="G996" s="360"/>
      <c r="H996" s="360"/>
      <c r="I996" s="360"/>
      <c r="J996" s="360"/>
      <c r="K996" s="352" t="s">
        <v>570</v>
      </c>
      <c r="L996" s="454" t="s">
        <v>559</v>
      </c>
    </row>
    <row r="997" spans="1:15" ht="25.2" customHeight="1" x14ac:dyDescent="0.4">
      <c r="A997" s="660">
        <v>45391</v>
      </c>
      <c r="B997" s="456" t="s">
        <v>390</v>
      </c>
      <c r="C997" s="364"/>
      <c r="D997" s="364"/>
      <c r="E997" s="360"/>
      <c r="F997" s="360"/>
      <c r="G997" s="360"/>
      <c r="H997" s="360"/>
      <c r="I997" s="360">
        <v>10000</v>
      </c>
      <c r="J997" s="360"/>
      <c r="K997" s="352" t="s">
        <v>271</v>
      </c>
      <c r="L997" s="454" t="s">
        <v>566</v>
      </c>
    </row>
    <row r="998" spans="1:15" ht="25.2" customHeight="1" x14ac:dyDescent="0.4">
      <c r="A998" s="660"/>
      <c r="B998" s="456" t="s">
        <v>390</v>
      </c>
      <c r="C998" s="364"/>
      <c r="D998" s="364"/>
      <c r="E998" s="360"/>
      <c r="F998" s="360"/>
      <c r="G998" s="360"/>
      <c r="H998" s="360"/>
      <c r="I998" s="360"/>
      <c r="J998" s="360">
        <f>8000*3</f>
        <v>24000</v>
      </c>
      <c r="K998" s="352" t="s">
        <v>271</v>
      </c>
      <c r="L998" s="454" t="s">
        <v>586</v>
      </c>
    </row>
    <row r="999" spans="1:15" ht="25.2" customHeight="1" x14ac:dyDescent="0.4">
      <c r="A999" s="660"/>
      <c r="B999" s="456" t="s">
        <v>390</v>
      </c>
      <c r="C999" s="364"/>
      <c r="D999" s="364"/>
      <c r="E999" s="360">
        <v>15900</v>
      </c>
      <c r="F999" s="360"/>
      <c r="G999" s="360"/>
      <c r="H999" s="360"/>
      <c r="I999" s="360"/>
      <c r="J999" s="360"/>
      <c r="K999" s="352" t="s">
        <v>577</v>
      </c>
      <c r="L999" s="454" t="s">
        <v>574</v>
      </c>
    </row>
    <row r="1000" spans="1:15" ht="25.2" customHeight="1" x14ac:dyDescent="0.4">
      <c r="A1000" s="660"/>
      <c r="B1000" s="456" t="s">
        <v>390</v>
      </c>
      <c r="C1000" s="364"/>
      <c r="D1000" s="364"/>
      <c r="E1000" s="360">
        <v>3900</v>
      </c>
      <c r="F1000" s="360"/>
      <c r="G1000" s="360"/>
      <c r="H1000" s="360"/>
      <c r="I1000" s="360"/>
      <c r="J1000" s="360"/>
      <c r="K1000" s="352" t="s">
        <v>137</v>
      </c>
      <c r="L1000" s="454" t="s">
        <v>575</v>
      </c>
    </row>
    <row r="1001" spans="1:15" ht="25.2" customHeight="1" x14ac:dyDescent="0.4">
      <c r="A1001" s="660"/>
      <c r="B1001" s="456" t="s">
        <v>390</v>
      </c>
      <c r="C1001" s="364"/>
      <c r="D1001" s="364"/>
      <c r="E1001" s="360"/>
      <c r="F1001" s="382">
        <f>O1001*N1001/9</f>
        <v>60300.264533333335</v>
      </c>
      <c r="G1001" s="360"/>
      <c r="H1001" s="360"/>
      <c r="I1001" s="360"/>
      <c r="J1001" s="360"/>
      <c r="K1001" s="352" t="s">
        <v>580</v>
      </c>
      <c r="L1001" s="454" t="s">
        <v>587</v>
      </c>
      <c r="N1001" s="1">
        <f>N993</f>
        <v>352.64</v>
      </c>
      <c r="O1001" s="366">
        <f>O993</f>
        <v>1538.97</v>
      </c>
    </row>
    <row r="1002" spans="1:15" ht="25.2" customHeight="1" x14ac:dyDescent="0.4">
      <c r="A1002" s="662" t="s">
        <v>17</v>
      </c>
      <c r="B1002" s="662"/>
      <c r="C1002" s="360">
        <f>SUM(C973:C1001)</f>
        <v>393100</v>
      </c>
      <c r="D1002" s="360">
        <f>SUM(D973:D1001)</f>
        <v>0</v>
      </c>
      <c r="E1002" s="360">
        <f>SUM(E973:E1001)</f>
        <v>41300</v>
      </c>
      <c r="F1002" s="360">
        <f>ROUNDDOWN(SUM(F973:F1001),0)</f>
        <v>120600</v>
      </c>
      <c r="G1002" s="360" t="e">
        <f>SUM(#REF!)</f>
        <v>#REF!</v>
      </c>
      <c r="H1002" s="360" t="e">
        <f>SUM(#REF!)</f>
        <v>#REF!</v>
      </c>
      <c r="I1002" s="360">
        <f>SUM(I973:I1001)</f>
        <v>90000</v>
      </c>
      <c r="J1002" s="360">
        <f>SUM(J973:J1001)</f>
        <v>144000</v>
      </c>
      <c r="K1002" s="352" t="s">
        <v>579</v>
      </c>
      <c r="L1002" s="454" t="s">
        <v>578</v>
      </c>
    </row>
    <row r="1003" spans="1:15" ht="25.2" customHeight="1" x14ac:dyDescent="0.4">
      <c r="A1003" s="659" t="s">
        <v>18</v>
      </c>
      <c r="B1003" s="659"/>
      <c r="C1003" s="657">
        <f>C1002+D1002+E1002+F1002+I1002+J1002</f>
        <v>789000</v>
      </c>
      <c r="D1003" s="657"/>
      <c r="E1003" s="657"/>
      <c r="F1003" s="657"/>
      <c r="G1003" s="657"/>
      <c r="H1003" s="657"/>
      <c r="I1003" s="657"/>
      <c r="J1003" s="657"/>
      <c r="K1003" s="457"/>
      <c r="L1003" s="455"/>
    </row>
    <row r="1005" spans="1:15" ht="25.2" customHeight="1" x14ac:dyDescent="0.4">
      <c r="A1005" s="6" t="s">
        <v>0</v>
      </c>
      <c r="B1005" s="6" t="s">
        <v>1</v>
      </c>
      <c r="C1005" s="6" t="s">
        <v>557</v>
      </c>
      <c r="D1005" s="6" t="s">
        <v>287</v>
      </c>
      <c r="E1005" s="6" t="s">
        <v>74</v>
      </c>
      <c r="F1005" s="6" t="s">
        <v>3</v>
      </c>
      <c r="G1005" s="6" t="s">
        <v>4</v>
      </c>
      <c r="H1005" s="6" t="s">
        <v>5</v>
      </c>
      <c r="I1005" s="6" t="s">
        <v>521</v>
      </c>
      <c r="J1005" s="6" t="s">
        <v>7</v>
      </c>
      <c r="K1005" s="6" t="s">
        <v>60</v>
      </c>
      <c r="L1005" s="6" t="s">
        <v>8</v>
      </c>
      <c r="O1005" s="43">
        <v>1538.97</v>
      </c>
    </row>
    <row r="1006" spans="1:15" ht="25.2" customHeight="1" x14ac:dyDescent="0.4">
      <c r="A1006" s="661">
        <v>45404</v>
      </c>
      <c r="B1006" s="460" t="s">
        <v>390</v>
      </c>
      <c r="C1006" s="364"/>
      <c r="D1006" s="364">
        <v>0</v>
      </c>
      <c r="E1006" s="360">
        <f>1500+1800</f>
        <v>3300</v>
      </c>
      <c r="F1006" s="360"/>
      <c r="G1006" s="360"/>
      <c r="H1006" s="360"/>
      <c r="I1006" s="360"/>
      <c r="J1006" s="360"/>
      <c r="K1006" s="352" t="s">
        <v>204</v>
      </c>
      <c r="L1006" s="453" t="s">
        <v>588</v>
      </c>
    </row>
    <row r="1007" spans="1:15" ht="25.2" customHeight="1" x14ac:dyDescent="0.4">
      <c r="A1007" s="661"/>
      <c r="B1007" s="460" t="s">
        <v>390</v>
      </c>
      <c r="C1007" s="364">
        <v>0</v>
      </c>
      <c r="D1007" s="364"/>
      <c r="E1007" s="360"/>
      <c r="F1007" s="382">
        <f>O1007*N1007/9</f>
        <v>17000.488600000001</v>
      </c>
      <c r="G1007" s="360"/>
      <c r="H1007" s="360"/>
      <c r="I1007" s="360"/>
      <c r="J1007" s="360"/>
      <c r="K1007" s="352" t="s">
        <v>590</v>
      </c>
      <c r="L1007" s="458" t="s">
        <v>589</v>
      </c>
      <c r="N1007" s="1">
        <v>99.42</v>
      </c>
      <c r="O1007" s="366">
        <f>O1005</f>
        <v>1538.97</v>
      </c>
    </row>
    <row r="1008" spans="1:15" ht="25.2" customHeight="1" x14ac:dyDescent="0.4">
      <c r="A1008" s="662" t="s">
        <v>17</v>
      </c>
      <c r="B1008" s="662"/>
      <c r="C1008" s="360">
        <f>SUM(C1006:C1007)</f>
        <v>0</v>
      </c>
      <c r="D1008" s="360">
        <f>SUM(D1006:D1007)</f>
        <v>0</v>
      </c>
      <c r="E1008" s="360">
        <f>SUM(E1006:E1007)</f>
        <v>3300</v>
      </c>
      <c r="F1008" s="360">
        <f>ROUNDDOWN(SUM(F1006:F1007),0)</f>
        <v>17000</v>
      </c>
      <c r="G1008" s="360" t="e">
        <f>SUM(#REF!)</f>
        <v>#REF!</v>
      </c>
      <c r="H1008" s="360" t="e">
        <f>SUM(#REF!)</f>
        <v>#REF!</v>
      </c>
      <c r="I1008" s="360">
        <f>SUM(I1006:I1007)</f>
        <v>0</v>
      </c>
      <c r="J1008" s="360">
        <f>SUM(J1006:J1007)</f>
        <v>0</v>
      </c>
      <c r="K1008" s="352"/>
      <c r="L1008" s="458" t="s">
        <v>536</v>
      </c>
    </row>
    <row r="1009" spans="1:16" ht="25.2" customHeight="1" x14ac:dyDescent="0.4">
      <c r="A1009" s="659" t="s">
        <v>18</v>
      </c>
      <c r="B1009" s="659"/>
      <c r="C1009" s="657">
        <f>C1008+D1008+E1008+F1008+I1008+J1008</f>
        <v>20300</v>
      </c>
      <c r="D1009" s="657"/>
      <c r="E1009" s="657"/>
      <c r="F1009" s="657"/>
      <c r="G1009" s="657"/>
      <c r="H1009" s="657"/>
      <c r="I1009" s="657"/>
      <c r="J1009" s="657"/>
      <c r="K1009" s="461"/>
      <c r="L1009" s="459"/>
    </row>
    <row r="1011" spans="1:16" ht="25.2" customHeight="1" x14ac:dyDescent="0.4">
      <c r="A1011" s="6" t="s">
        <v>0</v>
      </c>
      <c r="B1011" s="6" t="s">
        <v>1</v>
      </c>
      <c r="C1011" s="6" t="s">
        <v>557</v>
      </c>
      <c r="D1011" s="6" t="s">
        <v>287</v>
      </c>
      <c r="E1011" s="6" t="s">
        <v>74</v>
      </c>
      <c r="F1011" s="6" t="s">
        <v>3</v>
      </c>
      <c r="G1011" s="6" t="s">
        <v>4</v>
      </c>
      <c r="H1011" s="6" t="s">
        <v>5</v>
      </c>
      <c r="I1011" s="6" t="s">
        <v>521</v>
      </c>
      <c r="J1011" s="6" t="s">
        <v>7</v>
      </c>
      <c r="K1011" s="6" t="s">
        <v>60</v>
      </c>
      <c r="L1011" s="6" t="s">
        <v>8</v>
      </c>
      <c r="O1011" s="43">
        <v>1557.77</v>
      </c>
      <c r="P1011" s="43"/>
    </row>
    <row r="1012" spans="1:16" ht="25.2" customHeight="1" x14ac:dyDescent="0.4">
      <c r="A1012" s="648">
        <v>45419</v>
      </c>
      <c r="B1012" s="462" t="s">
        <v>390</v>
      </c>
      <c r="C1012" s="364">
        <v>0</v>
      </c>
      <c r="D1012" s="364">
        <v>0</v>
      </c>
      <c r="E1012" s="360">
        <v>1800</v>
      </c>
      <c r="F1012" s="382">
        <f t="shared" ref="F1012:F1017" si="12">O1012*N1012/9</f>
        <v>0</v>
      </c>
      <c r="G1012" s="360"/>
      <c r="H1012" s="360"/>
      <c r="I1012" s="364">
        <v>0</v>
      </c>
      <c r="J1012" s="364">
        <v>0</v>
      </c>
      <c r="K1012" s="352" t="s">
        <v>204</v>
      </c>
      <c r="L1012" s="453" t="s">
        <v>588</v>
      </c>
    </row>
    <row r="1013" spans="1:16" ht="25.2" customHeight="1" x14ac:dyDescent="0.4">
      <c r="A1013" s="649"/>
      <c r="B1013" s="462" t="s">
        <v>390</v>
      </c>
      <c r="C1013" s="364">
        <v>0</v>
      </c>
      <c r="D1013" s="364">
        <v>0</v>
      </c>
      <c r="E1013" s="360">
        <v>0</v>
      </c>
      <c r="F1013" s="382">
        <f t="shared" si="12"/>
        <v>17196.983801395349</v>
      </c>
      <c r="G1013" s="360"/>
      <c r="H1013" s="360"/>
      <c r="I1013" s="364">
        <v>0</v>
      </c>
      <c r="J1013" s="364">
        <v>0</v>
      </c>
      <c r="K1013" s="352" t="s">
        <v>91</v>
      </c>
      <c r="L1013" s="463" t="s">
        <v>596</v>
      </c>
      <c r="N1013" s="1">
        <v>99.355395348837206</v>
      </c>
      <c r="O1013" s="366">
        <f>O1011</f>
        <v>1557.77</v>
      </c>
    </row>
    <row r="1014" spans="1:16" ht="25.2" customHeight="1" x14ac:dyDescent="0.4">
      <c r="A1014" s="661">
        <v>45422</v>
      </c>
      <c r="B1014" s="462" t="s">
        <v>390</v>
      </c>
      <c r="C1014" s="364">
        <v>0</v>
      </c>
      <c r="D1014" s="364">
        <v>0</v>
      </c>
      <c r="E1014" s="360">
        <f>1800+1280</f>
        <v>3080</v>
      </c>
      <c r="F1014" s="382">
        <f t="shared" si="12"/>
        <v>0</v>
      </c>
      <c r="G1014" s="360"/>
      <c r="H1014" s="360"/>
      <c r="I1014" s="364">
        <v>0</v>
      </c>
      <c r="J1014" s="364">
        <v>0</v>
      </c>
      <c r="K1014" s="352" t="s">
        <v>84</v>
      </c>
      <c r="L1014" s="453" t="s">
        <v>593</v>
      </c>
    </row>
    <row r="1015" spans="1:16" ht="25.2" customHeight="1" x14ac:dyDescent="0.4">
      <c r="A1015" s="661"/>
      <c r="B1015" s="462" t="s">
        <v>390</v>
      </c>
      <c r="C1015" s="364">
        <v>0</v>
      </c>
      <c r="D1015" s="364">
        <v>0</v>
      </c>
      <c r="E1015" s="360">
        <v>0</v>
      </c>
      <c r="F1015" s="382">
        <f t="shared" si="12"/>
        <v>0</v>
      </c>
      <c r="G1015" s="360"/>
      <c r="H1015" s="360"/>
      <c r="I1015" s="364">
        <v>0</v>
      </c>
      <c r="J1015" s="364">
        <v>7500</v>
      </c>
      <c r="K1015" s="352" t="s">
        <v>591</v>
      </c>
      <c r="L1015" s="453" t="s">
        <v>594</v>
      </c>
    </row>
    <row r="1016" spans="1:16" ht="25.2" customHeight="1" x14ac:dyDescent="0.4">
      <c r="A1016" s="661"/>
      <c r="B1016" s="462" t="s">
        <v>390</v>
      </c>
      <c r="C1016" s="364">
        <v>0</v>
      </c>
      <c r="D1016" s="364">
        <v>13600</v>
      </c>
      <c r="E1016" s="364">
        <v>0</v>
      </c>
      <c r="F1016" s="382">
        <f t="shared" si="12"/>
        <v>0</v>
      </c>
      <c r="G1016" s="360"/>
      <c r="H1016" s="360"/>
      <c r="I1016" s="364">
        <v>0</v>
      </c>
      <c r="J1016" s="364">
        <v>0</v>
      </c>
      <c r="K1016" s="352" t="s">
        <v>99</v>
      </c>
      <c r="L1016" s="453" t="s">
        <v>598</v>
      </c>
    </row>
    <row r="1017" spans="1:16" ht="25.2" customHeight="1" x14ac:dyDescent="0.4">
      <c r="A1017" s="661"/>
      <c r="B1017" s="462" t="s">
        <v>390</v>
      </c>
      <c r="C1017" s="364">
        <v>0</v>
      </c>
      <c r="D1017" s="364">
        <v>0</v>
      </c>
      <c r="E1017" s="360"/>
      <c r="F1017" s="382">
        <f t="shared" si="12"/>
        <v>9423.5064257309932</v>
      </c>
      <c r="G1017" s="360"/>
      <c r="H1017" s="360"/>
      <c r="I1017" s="364">
        <v>0</v>
      </c>
      <c r="J1017" s="364">
        <v>0</v>
      </c>
      <c r="K1017" s="352" t="s">
        <v>592</v>
      </c>
      <c r="L1017" s="463" t="s">
        <v>597</v>
      </c>
      <c r="N1017" s="1">
        <v>54.444210526315793</v>
      </c>
      <c r="O1017" s="366">
        <f>O1013</f>
        <v>1557.77</v>
      </c>
    </row>
    <row r="1018" spans="1:16" ht="25.2" customHeight="1" x14ac:dyDescent="0.4">
      <c r="A1018" s="662" t="s">
        <v>17</v>
      </c>
      <c r="B1018" s="662"/>
      <c r="C1018" s="360">
        <f>SUM(C1012:C1017)</f>
        <v>0</v>
      </c>
      <c r="D1018" s="360">
        <f>SUM(D1012:D1017)</f>
        <v>13600</v>
      </c>
      <c r="E1018" s="360">
        <f>SUM(E1012:E1017)</f>
        <v>4880</v>
      </c>
      <c r="F1018" s="360">
        <f>ROUNDDOWN(SUM(F1012:H1017),0)</f>
        <v>26620</v>
      </c>
      <c r="G1018" s="360" t="e">
        <f>SUM(#REF!)</f>
        <v>#REF!</v>
      </c>
      <c r="H1018" s="360" t="e">
        <f>SUM(#REF!)</f>
        <v>#REF!</v>
      </c>
      <c r="I1018" s="360">
        <f>SUM(I1012:I1017)</f>
        <v>0</v>
      </c>
      <c r="J1018" s="360">
        <f>SUM(J1012:J1017)</f>
        <v>7500</v>
      </c>
      <c r="K1018" s="352" t="s">
        <v>98</v>
      </c>
      <c r="L1018" s="463" t="s">
        <v>595</v>
      </c>
    </row>
    <row r="1019" spans="1:16" ht="25.2" customHeight="1" x14ac:dyDescent="0.4">
      <c r="A1019" s="659" t="s">
        <v>18</v>
      </c>
      <c r="B1019" s="659"/>
      <c r="C1019" s="657">
        <f>C1018+D1018+E1018+F1018+I1018+J1018</f>
        <v>52600</v>
      </c>
      <c r="D1019" s="657"/>
      <c r="E1019" s="657"/>
      <c r="F1019" s="657"/>
      <c r="G1019" s="657"/>
      <c r="H1019" s="657"/>
      <c r="I1019" s="657"/>
      <c r="J1019" s="657"/>
      <c r="K1019" s="465"/>
      <c r="L1019" s="464"/>
    </row>
    <row r="1022" spans="1:16" ht="25.2" customHeight="1" x14ac:dyDescent="0.4">
      <c r="A1022" s="6" t="s">
        <v>0</v>
      </c>
      <c r="B1022" s="6" t="s">
        <v>1</v>
      </c>
      <c r="C1022" s="6" t="s">
        <v>599</v>
      </c>
      <c r="D1022" s="6" t="s">
        <v>287</v>
      </c>
      <c r="E1022" s="6" t="s">
        <v>74</v>
      </c>
      <c r="F1022" s="6" t="s">
        <v>3</v>
      </c>
      <c r="G1022" s="6" t="s">
        <v>4</v>
      </c>
      <c r="H1022" s="6" t="s">
        <v>5</v>
      </c>
      <c r="I1022" s="6" t="s">
        <v>521</v>
      </c>
      <c r="J1022" s="6" t="s">
        <v>7</v>
      </c>
      <c r="K1022" s="6" t="s">
        <v>60</v>
      </c>
      <c r="L1022" s="6" t="s">
        <v>8</v>
      </c>
      <c r="O1022" s="43">
        <v>1557.77</v>
      </c>
      <c r="P1022" s="43"/>
    </row>
    <row r="1023" spans="1:16" ht="25.2" customHeight="1" x14ac:dyDescent="0.4">
      <c r="A1023" s="648">
        <v>45428</v>
      </c>
      <c r="B1023" s="469" t="s">
        <v>390</v>
      </c>
      <c r="C1023" s="364">
        <v>0</v>
      </c>
      <c r="D1023" s="364">
        <v>0</v>
      </c>
      <c r="E1023" s="360"/>
      <c r="F1023" s="382">
        <f t="shared" ref="F1023:F1028" si="13">O1023*N1023/9</f>
        <v>0</v>
      </c>
      <c r="G1023" s="360"/>
      <c r="H1023" s="360"/>
      <c r="I1023" s="364">
        <v>30000</v>
      </c>
      <c r="J1023" s="364">
        <v>0</v>
      </c>
      <c r="K1023" s="352" t="s">
        <v>605</v>
      </c>
      <c r="L1023" s="453" t="s">
        <v>600</v>
      </c>
    </row>
    <row r="1024" spans="1:16" ht="25.2" customHeight="1" x14ac:dyDescent="0.4">
      <c r="A1024" s="649"/>
      <c r="B1024" s="469" t="s">
        <v>390</v>
      </c>
      <c r="C1024" s="364">
        <v>26565</v>
      </c>
      <c r="D1024" s="364">
        <v>0</v>
      </c>
      <c r="E1024" s="360">
        <v>0</v>
      </c>
      <c r="F1024" s="382">
        <f t="shared" si="13"/>
        <v>0</v>
      </c>
      <c r="G1024" s="360"/>
      <c r="H1024" s="360"/>
      <c r="I1024" s="364">
        <v>0</v>
      </c>
      <c r="J1024" s="364">
        <v>0</v>
      </c>
      <c r="K1024" s="352" t="s">
        <v>91</v>
      </c>
      <c r="L1024" s="466" t="s">
        <v>606</v>
      </c>
      <c r="N1024" s="1">
        <v>0</v>
      </c>
      <c r="O1024" s="366">
        <f>O1022</f>
        <v>1557.77</v>
      </c>
    </row>
    <row r="1025" spans="1:16" ht="25.2" customHeight="1" x14ac:dyDescent="0.4">
      <c r="A1025" s="468">
        <v>45429</v>
      </c>
      <c r="B1025" s="469" t="s">
        <v>390</v>
      </c>
      <c r="C1025" s="364">
        <v>0</v>
      </c>
      <c r="D1025" s="364">
        <v>0</v>
      </c>
      <c r="E1025" s="360"/>
      <c r="F1025" s="382">
        <f>O1025*N1025/9</f>
        <v>0</v>
      </c>
      <c r="G1025" s="360"/>
      <c r="H1025" s="360"/>
      <c r="I1025" s="364">
        <v>30000</v>
      </c>
      <c r="J1025" s="364">
        <v>0</v>
      </c>
      <c r="K1025" s="352" t="s">
        <v>271</v>
      </c>
      <c r="L1025" s="453" t="s">
        <v>600</v>
      </c>
    </row>
    <row r="1026" spans="1:16" ht="25.2" customHeight="1" x14ac:dyDescent="0.4">
      <c r="A1026" s="468">
        <v>45430</v>
      </c>
      <c r="B1026" s="469" t="s">
        <v>390</v>
      </c>
      <c r="C1026" s="364">
        <v>0</v>
      </c>
      <c r="D1026" s="364">
        <v>0</v>
      </c>
      <c r="E1026" s="360">
        <v>0</v>
      </c>
      <c r="F1026" s="382">
        <f>O1026*N1026/9</f>
        <v>0</v>
      </c>
      <c r="G1026" s="360"/>
      <c r="H1026" s="360"/>
      <c r="I1026" s="364">
        <v>30000</v>
      </c>
      <c r="J1026" s="364">
        <v>0</v>
      </c>
      <c r="K1026" s="352" t="s">
        <v>271</v>
      </c>
      <c r="L1026" s="453" t="s">
        <v>600</v>
      </c>
    </row>
    <row r="1027" spans="1:16" ht="25.2" customHeight="1" x14ac:dyDescent="0.4">
      <c r="A1027" s="648">
        <v>45436</v>
      </c>
      <c r="B1027" s="469" t="s">
        <v>390</v>
      </c>
      <c r="C1027" s="364">
        <v>0</v>
      </c>
      <c r="D1027" s="364">
        <v>0</v>
      </c>
      <c r="E1027" s="360">
        <f>750+1800</f>
        <v>2550</v>
      </c>
      <c r="F1027" s="382">
        <f t="shared" si="13"/>
        <v>0</v>
      </c>
      <c r="G1027" s="360"/>
      <c r="H1027" s="360"/>
      <c r="I1027" s="364">
        <v>0</v>
      </c>
      <c r="J1027" s="364">
        <v>0</v>
      </c>
      <c r="K1027" s="352" t="s">
        <v>603</v>
      </c>
      <c r="L1027" s="453" t="s">
        <v>601</v>
      </c>
    </row>
    <row r="1028" spans="1:16" ht="25.2" customHeight="1" x14ac:dyDescent="0.4">
      <c r="A1028" s="649"/>
      <c r="B1028" s="469" t="s">
        <v>390</v>
      </c>
      <c r="C1028" s="364">
        <v>0</v>
      </c>
      <c r="D1028" s="364">
        <v>0</v>
      </c>
      <c r="E1028" s="360"/>
      <c r="F1028" s="382">
        <f t="shared" si="13"/>
        <v>13500.673333333332</v>
      </c>
      <c r="G1028" s="360"/>
      <c r="H1028" s="360"/>
      <c r="I1028" s="364">
        <v>0</v>
      </c>
      <c r="J1028" s="364">
        <v>0</v>
      </c>
      <c r="K1028" s="352" t="s">
        <v>604</v>
      </c>
      <c r="L1028" s="466" t="s">
        <v>602</v>
      </c>
      <c r="N1028" s="1">
        <v>78</v>
      </c>
      <c r="O1028" s="366">
        <f>O1024</f>
        <v>1557.77</v>
      </c>
    </row>
    <row r="1029" spans="1:16" ht="25.2" customHeight="1" x14ac:dyDescent="0.4">
      <c r="A1029" s="662" t="s">
        <v>17</v>
      </c>
      <c r="B1029" s="662"/>
      <c r="C1029" s="360">
        <f>SUM(C1023:C1028)</f>
        <v>26565</v>
      </c>
      <c r="D1029" s="360">
        <f>SUM(D1023:D1028)</f>
        <v>0</v>
      </c>
      <c r="E1029" s="360">
        <f>SUM(E1023:E1028)</f>
        <v>2550</v>
      </c>
      <c r="F1029" s="360">
        <f>ROUNDDOWN(SUM(F1023:H1028),0)</f>
        <v>13500</v>
      </c>
      <c r="G1029" s="360" t="e">
        <f>SUM(#REF!)</f>
        <v>#REF!</v>
      </c>
      <c r="H1029" s="360" t="e">
        <f>SUM(#REF!)</f>
        <v>#REF!</v>
      </c>
      <c r="I1029" s="360">
        <f>SUM(I1023:I1028)</f>
        <v>90000</v>
      </c>
      <c r="J1029" s="360">
        <f>SUM(J1023:J1028)</f>
        <v>0</v>
      </c>
      <c r="K1029" s="352" t="s">
        <v>271</v>
      </c>
      <c r="L1029" s="466" t="s">
        <v>595</v>
      </c>
    </row>
    <row r="1030" spans="1:16" ht="25.2" customHeight="1" x14ac:dyDescent="0.4">
      <c r="A1030" s="659" t="s">
        <v>18</v>
      </c>
      <c r="B1030" s="659"/>
      <c r="C1030" s="657">
        <f>C1029+D1029+E1029+F1029+I1029+J1029</f>
        <v>132615</v>
      </c>
      <c r="D1030" s="657"/>
      <c r="E1030" s="657"/>
      <c r="F1030" s="657"/>
      <c r="G1030" s="657"/>
      <c r="H1030" s="657"/>
      <c r="I1030" s="657"/>
      <c r="J1030" s="657"/>
      <c r="K1030" s="470"/>
      <c r="L1030" s="467"/>
    </row>
    <row r="1032" spans="1:16" ht="25.2" customHeight="1" x14ac:dyDescent="0.4">
      <c r="A1032" s="471" t="s">
        <v>0</v>
      </c>
      <c r="B1032" s="471" t="s">
        <v>1</v>
      </c>
      <c r="C1032" s="471" t="s">
        <v>557</v>
      </c>
      <c r="D1032" s="471" t="s">
        <v>287</v>
      </c>
      <c r="E1032" s="471" t="s">
        <v>74</v>
      </c>
      <c r="F1032" s="471" t="s">
        <v>3</v>
      </c>
      <c r="G1032" s="471" t="s">
        <v>4</v>
      </c>
      <c r="H1032" s="471" t="s">
        <v>5</v>
      </c>
      <c r="I1032" s="471" t="s">
        <v>521</v>
      </c>
      <c r="J1032" s="471" t="s">
        <v>7</v>
      </c>
      <c r="K1032" s="471" t="s">
        <v>60</v>
      </c>
      <c r="L1032" s="471" t="s">
        <v>8</v>
      </c>
      <c r="O1032" s="43">
        <v>1539.59</v>
      </c>
      <c r="P1032" s="43"/>
    </row>
    <row r="1033" spans="1:16" ht="25.2" customHeight="1" x14ac:dyDescent="0.4">
      <c r="A1033" s="472">
        <v>45455</v>
      </c>
      <c r="B1033" s="472" t="s">
        <v>390</v>
      </c>
      <c r="C1033" s="473">
        <v>0</v>
      </c>
      <c r="D1033" s="473">
        <v>0</v>
      </c>
      <c r="E1033" s="474">
        <v>0</v>
      </c>
      <c r="F1033" s="475">
        <f t="shared" ref="F1033:F1038" si="14">O1033*N1033/9</f>
        <v>0</v>
      </c>
      <c r="G1033" s="474"/>
      <c r="H1033" s="474"/>
      <c r="I1033" s="473">
        <v>0</v>
      </c>
      <c r="J1033" s="473">
        <v>21100</v>
      </c>
      <c r="K1033" s="476" t="s">
        <v>613</v>
      </c>
      <c r="L1033" s="477" t="s">
        <v>608</v>
      </c>
      <c r="O1033" s="43"/>
    </row>
    <row r="1034" spans="1:16" ht="25.2" customHeight="1" x14ac:dyDescent="0.4">
      <c r="A1034" s="472">
        <v>45462</v>
      </c>
      <c r="B1034" s="472" t="s">
        <v>390</v>
      </c>
      <c r="C1034" s="473">
        <v>0</v>
      </c>
      <c r="D1034" s="473">
        <v>0</v>
      </c>
      <c r="E1034" s="474">
        <v>0</v>
      </c>
      <c r="F1034" s="475">
        <f>O1034*N1034/9</f>
        <v>0</v>
      </c>
      <c r="G1034" s="474"/>
      <c r="H1034" s="474"/>
      <c r="I1034" s="473">
        <v>0</v>
      </c>
      <c r="J1034" s="473">
        <v>20000</v>
      </c>
      <c r="K1034" s="476" t="s">
        <v>614</v>
      </c>
      <c r="L1034" s="477" t="s">
        <v>607</v>
      </c>
    </row>
    <row r="1035" spans="1:16" ht="25.2" customHeight="1" x14ac:dyDescent="0.4">
      <c r="A1035" s="658">
        <v>45461</v>
      </c>
      <c r="B1035" s="472" t="s">
        <v>390</v>
      </c>
      <c r="C1035" s="473">
        <v>0</v>
      </c>
      <c r="D1035" s="473">
        <v>0</v>
      </c>
      <c r="E1035" s="474">
        <f>1500+1800</f>
        <v>3300</v>
      </c>
      <c r="F1035" s="475">
        <f t="shared" si="14"/>
        <v>0</v>
      </c>
      <c r="G1035" s="474"/>
      <c r="H1035" s="474"/>
      <c r="I1035" s="473">
        <v>0</v>
      </c>
      <c r="J1035" s="473">
        <v>0</v>
      </c>
      <c r="K1035" s="476" t="s">
        <v>61</v>
      </c>
      <c r="L1035" s="477" t="s">
        <v>609</v>
      </c>
    </row>
    <row r="1036" spans="1:16" ht="25.2" customHeight="1" x14ac:dyDescent="0.4">
      <c r="A1036" s="658"/>
      <c r="B1036" s="472" t="s">
        <v>390</v>
      </c>
      <c r="C1036" s="473">
        <v>0</v>
      </c>
      <c r="D1036" s="473">
        <v>0</v>
      </c>
      <c r="E1036" s="474">
        <v>0</v>
      </c>
      <c r="F1036" s="475">
        <f t="shared" si="14"/>
        <v>16987.287869077452</v>
      </c>
      <c r="G1036" s="474"/>
      <c r="H1036" s="474"/>
      <c r="I1036" s="473">
        <v>0</v>
      </c>
      <c r="J1036" s="473">
        <v>0</v>
      </c>
      <c r="K1036" s="476" t="s">
        <v>611</v>
      </c>
      <c r="L1036" s="478" t="s">
        <v>615</v>
      </c>
      <c r="N1036" s="1">
        <v>99.302795433652534</v>
      </c>
      <c r="O1036" s="366">
        <f>O1032</f>
        <v>1539.59</v>
      </c>
    </row>
    <row r="1037" spans="1:16" ht="25.2" customHeight="1" x14ac:dyDescent="0.4">
      <c r="A1037" s="658">
        <v>45464</v>
      </c>
      <c r="B1037" s="472" t="s">
        <v>390</v>
      </c>
      <c r="C1037" s="473">
        <v>0</v>
      </c>
      <c r="D1037" s="473">
        <v>0</v>
      </c>
      <c r="E1037" s="474">
        <f>1800+1600</f>
        <v>3400</v>
      </c>
      <c r="F1037" s="475">
        <f t="shared" si="14"/>
        <v>0</v>
      </c>
      <c r="G1037" s="474"/>
      <c r="H1037" s="474"/>
      <c r="I1037" s="473">
        <v>0</v>
      </c>
      <c r="J1037" s="473">
        <v>0</v>
      </c>
      <c r="K1037" s="476" t="s">
        <v>61</v>
      </c>
      <c r="L1037" s="477" t="s">
        <v>593</v>
      </c>
    </row>
    <row r="1038" spans="1:16" ht="25.2" customHeight="1" x14ac:dyDescent="0.4">
      <c r="A1038" s="658"/>
      <c r="B1038" s="472" t="s">
        <v>390</v>
      </c>
      <c r="C1038" s="473">
        <v>0</v>
      </c>
      <c r="D1038" s="473">
        <v>0</v>
      </c>
      <c r="E1038" s="474"/>
      <c r="F1038" s="475">
        <f t="shared" si="14"/>
        <v>9313.529120467836</v>
      </c>
      <c r="G1038" s="474"/>
      <c r="H1038" s="474"/>
      <c r="I1038" s="473">
        <v>0</v>
      </c>
      <c r="J1038" s="473">
        <v>0</v>
      </c>
      <c r="K1038" s="476" t="s">
        <v>612</v>
      </c>
      <c r="L1038" s="478" t="s">
        <v>597</v>
      </c>
      <c r="N1038" s="1">
        <v>54.444210526315793</v>
      </c>
      <c r="O1038" s="366">
        <f>O1032</f>
        <v>1539.59</v>
      </c>
    </row>
    <row r="1039" spans="1:16" ht="25.2" customHeight="1" x14ac:dyDescent="0.4">
      <c r="A1039" s="645" t="s">
        <v>17</v>
      </c>
      <c r="B1039" s="645"/>
      <c r="C1039" s="474">
        <f>SUM(C1033:C1038)</f>
        <v>0</v>
      </c>
      <c r="D1039" s="474">
        <f>SUM(D1033:D1038)</f>
        <v>0</v>
      </c>
      <c r="E1039" s="474">
        <f>SUM(E1033:E1038)</f>
        <v>6700</v>
      </c>
      <c r="F1039" s="474">
        <f>ROUNDDOWN(SUM(F1033:H1038),0)</f>
        <v>26300</v>
      </c>
      <c r="G1039" s="474" t="e">
        <f>SUM(#REF!)</f>
        <v>#REF!</v>
      </c>
      <c r="H1039" s="474" t="e">
        <f>SUM(#REF!)</f>
        <v>#REF!</v>
      </c>
      <c r="I1039" s="474">
        <f>SUM(I1033:I1038)</f>
        <v>0</v>
      </c>
      <c r="J1039" s="474">
        <f>SUM(J1033:J1038)</f>
        <v>41100</v>
      </c>
      <c r="K1039" s="476" t="s">
        <v>62</v>
      </c>
      <c r="L1039" s="478" t="s">
        <v>610</v>
      </c>
    </row>
    <row r="1040" spans="1:16" ht="25.2" customHeight="1" x14ac:dyDescent="0.4">
      <c r="A1040" s="646" t="s">
        <v>18</v>
      </c>
      <c r="B1040" s="646"/>
      <c r="C1040" s="647">
        <f>C1039+D1039+E1039+F1039+I1039+J1039</f>
        <v>74100</v>
      </c>
      <c r="D1040" s="647"/>
      <c r="E1040" s="647"/>
      <c r="F1040" s="647"/>
      <c r="G1040" s="647"/>
      <c r="H1040" s="647"/>
      <c r="I1040" s="647"/>
      <c r="J1040" s="647"/>
      <c r="K1040" s="481"/>
      <c r="L1040" s="482"/>
    </row>
    <row r="1043" spans="1:16" ht="25.2" customHeight="1" x14ac:dyDescent="0.4">
      <c r="A1043" s="471" t="s">
        <v>0</v>
      </c>
      <c r="B1043" s="471" t="s">
        <v>1</v>
      </c>
      <c r="C1043" s="471" t="s">
        <v>557</v>
      </c>
      <c r="D1043" s="471" t="s">
        <v>287</v>
      </c>
      <c r="E1043" s="471" t="s">
        <v>74</v>
      </c>
      <c r="F1043" s="471" t="s">
        <v>3</v>
      </c>
      <c r="G1043" s="471" t="s">
        <v>4</v>
      </c>
      <c r="H1043" s="471" t="s">
        <v>5</v>
      </c>
      <c r="I1043" s="471" t="s">
        <v>521</v>
      </c>
      <c r="J1043" s="471" t="s">
        <v>7</v>
      </c>
      <c r="K1043" s="471" t="s">
        <v>60</v>
      </c>
      <c r="L1043" s="471" t="s">
        <v>8</v>
      </c>
      <c r="O1043" s="43">
        <v>1539.59</v>
      </c>
      <c r="P1043" s="43"/>
    </row>
    <row r="1044" spans="1:16" ht="25.2" customHeight="1" x14ac:dyDescent="0.4">
      <c r="A1044" s="658">
        <v>45469</v>
      </c>
      <c r="B1044" s="479" t="s">
        <v>390</v>
      </c>
      <c r="C1044" s="473">
        <v>0</v>
      </c>
      <c r="D1044" s="473">
        <v>0</v>
      </c>
      <c r="E1044" s="474">
        <f>1800+1500</f>
        <v>3300</v>
      </c>
      <c r="F1044" s="475">
        <f>O1044*N1044/9</f>
        <v>0</v>
      </c>
      <c r="G1044" s="474"/>
      <c r="H1044" s="474"/>
      <c r="I1044" s="473">
        <v>0</v>
      </c>
      <c r="J1044" s="473">
        <v>0</v>
      </c>
      <c r="K1044" s="476" t="s">
        <v>61</v>
      </c>
      <c r="L1044" s="477" t="s">
        <v>593</v>
      </c>
    </row>
    <row r="1045" spans="1:16" ht="25.2" customHeight="1" x14ac:dyDescent="0.4">
      <c r="A1045" s="658"/>
      <c r="B1045" s="479" t="s">
        <v>390</v>
      </c>
      <c r="C1045" s="473">
        <v>0</v>
      </c>
      <c r="D1045" s="473">
        <v>0</v>
      </c>
      <c r="E1045" s="474"/>
      <c r="F1045" s="475">
        <f>O1045*N1045/9</f>
        <v>7000.0025333333333</v>
      </c>
      <c r="G1045" s="474"/>
      <c r="H1045" s="474"/>
      <c r="I1045" s="473">
        <v>0</v>
      </c>
      <c r="J1045" s="473">
        <v>0</v>
      </c>
      <c r="K1045" s="476" t="s">
        <v>91</v>
      </c>
      <c r="L1045" s="480" t="s">
        <v>616</v>
      </c>
      <c r="N1045" s="1">
        <v>40.92</v>
      </c>
      <c r="O1045" s="366">
        <f>O1043</f>
        <v>1539.59</v>
      </c>
    </row>
    <row r="1046" spans="1:16" ht="25.2" customHeight="1" x14ac:dyDescent="0.4">
      <c r="A1046" s="645" t="s">
        <v>17</v>
      </c>
      <c r="B1046" s="645"/>
      <c r="C1046" s="474">
        <f>SUM(C1044:C1045)</f>
        <v>0</v>
      </c>
      <c r="D1046" s="474">
        <f>SUM(D1044:D1045)</f>
        <v>0</v>
      </c>
      <c r="E1046" s="474">
        <f>SUM(E1044:E1045)</f>
        <v>3300</v>
      </c>
      <c r="F1046" s="474">
        <f>ROUNDDOWN(SUM(F1044:H1045),0)</f>
        <v>7000</v>
      </c>
      <c r="G1046" s="474" t="e">
        <f>SUM(#REF!)</f>
        <v>#REF!</v>
      </c>
      <c r="H1046" s="474" t="e">
        <f>SUM(#REF!)</f>
        <v>#REF!</v>
      </c>
      <c r="I1046" s="474">
        <f>SUM(I1044:I1045)</f>
        <v>0</v>
      </c>
      <c r="J1046" s="474">
        <f>SUM(J1044:J1045)</f>
        <v>0</v>
      </c>
      <c r="K1046" s="476"/>
      <c r="L1046" s="480" t="s">
        <v>617</v>
      </c>
    </row>
    <row r="1047" spans="1:16" ht="25.2" customHeight="1" x14ac:dyDescent="0.4">
      <c r="A1047" s="646" t="s">
        <v>18</v>
      </c>
      <c r="B1047" s="646"/>
      <c r="C1047" s="647">
        <f>C1046+D1046+E1046+F1046+I1046+J1046</f>
        <v>10300</v>
      </c>
      <c r="D1047" s="647"/>
      <c r="E1047" s="647"/>
      <c r="F1047" s="647"/>
      <c r="G1047" s="647"/>
      <c r="H1047" s="647"/>
      <c r="I1047" s="647"/>
      <c r="J1047" s="647"/>
      <c r="K1047" s="481"/>
      <c r="L1047" s="482"/>
    </row>
    <row r="1050" spans="1:16" ht="25.2" customHeight="1" x14ac:dyDescent="0.4">
      <c r="A1050" s="471" t="s">
        <v>0</v>
      </c>
      <c r="B1050" s="471" t="s">
        <v>1</v>
      </c>
      <c r="C1050" s="471" t="s">
        <v>557</v>
      </c>
      <c r="D1050" s="471" t="s">
        <v>287</v>
      </c>
      <c r="E1050" s="471" t="s">
        <v>74</v>
      </c>
      <c r="F1050" s="471" t="s">
        <v>3</v>
      </c>
      <c r="G1050" s="471" t="s">
        <v>4</v>
      </c>
      <c r="H1050" s="471" t="s">
        <v>5</v>
      </c>
      <c r="I1050" s="471" t="s">
        <v>521</v>
      </c>
      <c r="J1050" s="471" t="s">
        <v>7</v>
      </c>
      <c r="K1050" s="471" t="s">
        <v>60</v>
      </c>
      <c r="L1050" s="471" t="s">
        <v>8</v>
      </c>
      <c r="O1050" s="43">
        <v>1487.54</v>
      </c>
      <c r="P1050" s="43"/>
    </row>
    <row r="1051" spans="1:16" ht="25.2" customHeight="1" x14ac:dyDescent="0.4">
      <c r="A1051" s="658">
        <v>45476</v>
      </c>
      <c r="B1051" s="483" t="s">
        <v>390</v>
      </c>
      <c r="C1051" s="473"/>
      <c r="D1051" s="473"/>
      <c r="E1051" s="474">
        <f>1280+1500</f>
        <v>2780</v>
      </c>
      <c r="F1051" s="475"/>
      <c r="G1051" s="474"/>
      <c r="H1051" s="474"/>
      <c r="I1051" s="473"/>
      <c r="J1051" s="473"/>
      <c r="K1051" s="476" t="s">
        <v>61</v>
      </c>
      <c r="L1051" s="477" t="s">
        <v>622</v>
      </c>
      <c r="O1051" s="43">
        <v>1487.54</v>
      </c>
    </row>
    <row r="1052" spans="1:16" ht="25.2" customHeight="1" x14ac:dyDescent="0.4">
      <c r="A1052" s="658"/>
      <c r="B1052" s="483"/>
      <c r="C1052" s="473"/>
      <c r="D1052" s="473"/>
      <c r="E1052" s="474"/>
      <c r="F1052" s="475"/>
      <c r="G1052" s="474"/>
      <c r="H1052" s="474"/>
      <c r="I1052" s="473"/>
      <c r="J1052" s="473">
        <v>38000</v>
      </c>
      <c r="K1052" s="476" t="s">
        <v>618</v>
      </c>
      <c r="L1052" s="477" t="s">
        <v>624</v>
      </c>
      <c r="O1052" s="489">
        <f>O1050-O1051</f>
        <v>0</v>
      </c>
    </row>
    <row r="1053" spans="1:16" ht="25.2" customHeight="1" x14ac:dyDescent="0.4">
      <c r="A1053" s="658"/>
      <c r="B1053" s="483"/>
      <c r="C1053" s="473"/>
      <c r="D1053" s="473">
        <v>15000</v>
      </c>
      <c r="E1053" s="474"/>
      <c r="F1053" s="475"/>
      <c r="G1053" s="474"/>
      <c r="H1053" s="474"/>
      <c r="I1053" s="473"/>
      <c r="J1053" s="473"/>
      <c r="K1053" s="476" t="s">
        <v>619</v>
      </c>
      <c r="L1053" s="477" t="s">
        <v>621</v>
      </c>
    </row>
    <row r="1054" spans="1:16" ht="25.2" customHeight="1" x14ac:dyDescent="0.4">
      <c r="A1054" s="658"/>
      <c r="B1054" s="483" t="s">
        <v>390</v>
      </c>
      <c r="C1054" s="473"/>
      <c r="D1054" s="473"/>
      <c r="E1054" s="474"/>
      <c r="F1054" s="475">
        <f>O1054*N1054/9</f>
        <v>10500</v>
      </c>
      <c r="G1054" s="474"/>
      <c r="H1054" s="474"/>
      <c r="I1054" s="473"/>
      <c r="J1054" s="473"/>
      <c r="K1054" s="476" t="s">
        <v>620</v>
      </c>
      <c r="L1054" s="484" t="s">
        <v>625</v>
      </c>
      <c r="N1054" s="1">
        <v>63.527703456713766</v>
      </c>
      <c r="O1054" s="366">
        <f>O1050</f>
        <v>1487.54</v>
      </c>
    </row>
    <row r="1055" spans="1:16" ht="25.2" customHeight="1" x14ac:dyDescent="0.4">
      <c r="A1055" s="645" t="s">
        <v>17</v>
      </c>
      <c r="B1055" s="645"/>
      <c r="C1055" s="474">
        <f>SUM(C1051:C1054)</f>
        <v>0</v>
      </c>
      <c r="D1055" s="474">
        <f>SUM(D1051:D1054)</f>
        <v>15000</v>
      </c>
      <c r="E1055" s="474">
        <f>SUM(E1051:E1054)</f>
        <v>2780</v>
      </c>
      <c r="F1055" s="474">
        <f>ROUNDDOWN(SUM(F1051:H1054),0)</f>
        <v>10500</v>
      </c>
      <c r="G1055" s="474" t="e">
        <f>SUM(#REF!)</f>
        <v>#REF!</v>
      </c>
      <c r="H1055" s="474" t="e">
        <f>SUM(#REF!)</f>
        <v>#REF!</v>
      </c>
      <c r="I1055" s="474">
        <f>SUM(I1051:I1054)</f>
        <v>0</v>
      </c>
      <c r="J1055" s="474">
        <f>SUM(J1051:J1054)</f>
        <v>38000</v>
      </c>
      <c r="K1055" s="476" t="s">
        <v>91</v>
      </c>
      <c r="L1055" s="484" t="s">
        <v>623</v>
      </c>
    </row>
    <row r="1056" spans="1:16" ht="25.2" customHeight="1" x14ac:dyDescent="0.4">
      <c r="A1056" s="646" t="s">
        <v>18</v>
      </c>
      <c r="B1056" s="646"/>
      <c r="C1056" s="647">
        <f>C1055+D1055+E1055+F1055+I1055+J1055</f>
        <v>66280</v>
      </c>
      <c r="D1056" s="647"/>
      <c r="E1056" s="647"/>
      <c r="F1056" s="647"/>
      <c r="G1056" s="647"/>
      <c r="H1056" s="647"/>
      <c r="I1056" s="647"/>
      <c r="J1056" s="647"/>
      <c r="K1056" s="481"/>
      <c r="L1056" s="485"/>
    </row>
    <row r="1059" spans="1:16" ht="25.2" customHeight="1" x14ac:dyDescent="0.4">
      <c r="A1059" s="471" t="s">
        <v>0</v>
      </c>
      <c r="B1059" s="471" t="s">
        <v>1</v>
      </c>
      <c r="C1059" s="471" t="s">
        <v>557</v>
      </c>
      <c r="D1059" s="471" t="s">
        <v>287</v>
      </c>
      <c r="E1059" s="471" t="s">
        <v>74</v>
      </c>
      <c r="F1059" s="471" t="s">
        <v>3</v>
      </c>
      <c r="G1059" s="471" t="s">
        <v>4</v>
      </c>
      <c r="H1059" s="471" t="s">
        <v>5</v>
      </c>
      <c r="I1059" s="471" t="s">
        <v>6</v>
      </c>
      <c r="J1059" s="471" t="s">
        <v>7</v>
      </c>
      <c r="K1059" s="471" t="s">
        <v>60</v>
      </c>
      <c r="L1059" s="471" t="s">
        <v>8</v>
      </c>
      <c r="O1059" s="43">
        <v>1487.54</v>
      </c>
      <c r="P1059" s="43"/>
    </row>
    <row r="1060" spans="1:16" ht="25.2" customHeight="1" x14ac:dyDescent="0.4">
      <c r="A1060" s="658">
        <v>45495</v>
      </c>
      <c r="B1060" s="486" t="s">
        <v>390</v>
      </c>
      <c r="C1060" s="473"/>
      <c r="D1060" s="473"/>
      <c r="E1060" s="474">
        <f>1440+1200</f>
        <v>2640</v>
      </c>
      <c r="F1060" s="475"/>
      <c r="G1060" s="474"/>
      <c r="H1060" s="474"/>
      <c r="I1060" s="473"/>
      <c r="J1060" s="473"/>
      <c r="K1060" s="476" t="s">
        <v>61</v>
      </c>
      <c r="L1060" s="477" t="s">
        <v>627</v>
      </c>
      <c r="O1060" s="43">
        <v>1487.54</v>
      </c>
    </row>
    <row r="1061" spans="1:16" ht="25.2" customHeight="1" x14ac:dyDescent="0.4">
      <c r="A1061" s="658"/>
      <c r="B1061" s="486" t="s">
        <v>390</v>
      </c>
      <c r="C1061" s="473"/>
      <c r="D1061" s="473"/>
      <c r="E1061" s="474"/>
      <c r="F1061" s="475"/>
      <c r="G1061" s="474"/>
      <c r="H1061" s="474"/>
      <c r="I1061" s="473"/>
      <c r="J1061" s="473">
        <v>27000</v>
      </c>
      <c r="K1061" s="476" t="s">
        <v>63</v>
      </c>
      <c r="L1061" s="477" t="s">
        <v>628</v>
      </c>
      <c r="O1061" s="489">
        <f>O1059-O1060</f>
        <v>0</v>
      </c>
    </row>
    <row r="1062" spans="1:16" ht="25.2" customHeight="1" x14ac:dyDescent="0.4">
      <c r="A1062" s="658"/>
      <c r="B1062" s="486" t="s">
        <v>390</v>
      </c>
      <c r="C1062" s="473"/>
      <c r="D1062" s="473"/>
      <c r="E1062" s="474"/>
      <c r="F1062" s="475"/>
      <c r="G1062" s="474"/>
      <c r="H1062" s="474"/>
      <c r="I1062" s="473">
        <v>10000</v>
      </c>
      <c r="J1062" s="473"/>
      <c r="K1062" s="476" t="s">
        <v>63</v>
      </c>
      <c r="L1062" s="477" t="s">
        <v>629</v>
      </c>
    </row>
    <row r="1063" spans="1:16" ht="25.2" customHeight="1" x14ac:dyDescent="0.4">
      <c r="A1063" s="658"/>
      <c r="B1063" s="486" t="s">
        <v>390</v>
      </c>
      <c r="C1063" s="473"/>
      <c r="D1063" s="473"/>
      <c r="E1063" s="474"/>
      <c r="F1063" s="475">
        <f>O1063*N1063/9</f>
        <v>16430</v>
      </c>
      <c r="G1063" s="474"/>
      <c r="H1063" s="474"/>
      <c r="I1063" s="473"/>
      <c r="J1063" s="473"/>
      <c r="K1063" s="476" t="s">
        <v>63</v>
      </c>
      <c r="L1063" s="487" t="s">
        <v>630</v>
      </c>
      <c r="N1063" s="1">
        <v>99.405730266076887</v>
      </c>
      <c r="O1063" s="366">
        <f>O1059</f>
        <v>1487.54</v>
      </c>
    </row>
    <row r="1064" spans="1:16" ht="25.2" customHeight="1" x14ac:dyDescent="0.4">
      <c r="A1064" s="658">
        <v>45496</v>
      </c>
      <c r="B1064" s="486" t="s">
        <v>390</v>
      </c>
      <c r="C1064" s="473"/>
      <c r="D1064" s="473"/>
      <c r="E1064" s="474">
        <f>1200</f>
        <v>1200</v>
      </c>
      <c r="F1064" s="475"/>
      <c r="G1064" s="474"/>
      <c r="H1064" s="474"/>
      <c r="I1064" s="473"/>
      <c r="J1064" s="473"/>
      <c r="K1064" s="476" t="s">
        <v>61</v>
      </c>
      <c r="L1064" s="477" t="s">
        <v>627</v>
      </c>
      <c r="O1064" s="43">
        <v>1487.54</v>
      </c>
    </row>
    <row r="1065" spans="1:16" ht="25.2" customHeight="1" x14ac:dyDescent="0.4">
      <c r="A1065" s="658"/>
      <c r="B1065" s="486" t="s">
        <v>390</v>
      </c>
      <c r="C1065" s="473"/>
      <c r="D1065" s="473"/>
      <c r="E1065" s="474"/>
      <c r="F1065" s="475"/>
      <c r="G1065" s="474"/>
      <c r="H1065" s="474"/>
      <c r="I1065" s="473"/>
      <c r="J1065" s="473">
        <v>27000</v>
      </c>
      <c r="K1065" s="476" t="s">
        <v>63</v>
      </c>
      <c r="L1065" s="477" t="s">
        <v>628</v>
      </c>
      <c r="O1065" s="489">
        <f>O1063-O1064</f>
        <v>0</v>
      </c>
    </row>
    <row r="1066" spans="1:16" ht="25.2" customHeight="1" x14ac:dyDescent="0.4">
      <c r="A1066" s="658"/>
      <c r="B1066" s="486" t="s">
        <v>390</v>
      </c>
      <c r="C1066" s="473"/>
      <c r="D1066" s="473"/>
      <c r="E1066" s="474"/>
      <c r="F1066" s="475"/>
      <c r="G1066" s="474"/>
      <c r="H1066" s="474"/>
      <c r="I1066" s="473">
        <v>10000</v>
      </c>
      <c r="J1066" s="473"/>
      <c r="K1066" s="476"/>
      <c r="L1066" s="477" t="s">
        <v>629</v>
      </c>
    </row>
    <row r="1067" spans="1:16" ht="25.2" customHeight="1" x14ac:dyDescent="0.4">
      <c r="A1067" s="658"/>
      <c r="B1067" s="486" t="s">
        <v>390</v>
      </c>
      <c r="C1067" s="473"/>
      <c r="D1067" s="473"/>
      <c r="E1067" s="474"/>
      <c r="F1067" s="475">
        <f>O1067*N1067/9</f>
        <v>16430</v>
      </c>
      <c r="G1067" s="474"/>
      <c r="H1067" s="474"/>
      <c r="I1067" s="473"/>
      <c r="J1067" s="473"/>
      <c r="K1067" s="476" t="s">
        <v>63</v>
      </c>
      <c r="L1067" s="487" t="s">
        <v>630</v>
      </c>
      <c r="N1067" s="1">
        <v>99.405730266076887</v>
      </c>
      <c r="O1067" s="366">
        <f>O1063</f>
        <v>1487.54</v>
      </c>
    </row>
    <row r="1068" spans="1:16" ht="25.2" customHeight="1" x14ac:dyDescent="0.4">
      <c r="A1068" s="645" t="s">
        <v>17</v>
      </c>
      <c r="B1068" s="645"/>
      <c r="C1068" s="474">
        <f>SUM(C1060:C1067)</f>
        <v>0</v>
      </c>
      <c r="D1068" s="474">
        <f>SUM(D1060:D1067)</f>
        <v>0</v>
      </c>
      <c r="E1068" s="474">
        <f>SUM(E1060:E1067)</f>
        <v>3840</v>
      </c>
      <c r="F1068" s="474">
        <f>ROUNDDOWN(SUM(F1060:F1067),0)</f>
        <v>32860</v>
      </c>
      <c r="G1068" s="474" t="e">
        <f>SUM(#REF!)</f>
        <v>#REF!</v>
      </c>
      <c r="H1068" s="474" t="e">
        <f>SUM(#REF!)</f>
        <v>#REF!</v>
      </c>
      <c r="I1068" s="474">
        <f>SUM(I1060:I1067)</f>
        <v>20000</v>
      </c>
      <c r="J1068" s="474">
        <f>SUM(J1060:J1067)</f>
        <v>54000</v>
      </c>
      <c r="K1068" s="476"/>
      <c r="L1068" s="487" t="s">
        <v>626</v>
      </c>
    </row>
    <row r="1069" spans="1:16" ht="25.2" customHeight="1" x14ac:dyDescent="0.4">
      <c r="A1069" s="646" t="s">
        <v>18</v>
      </c>
      <c r="B1069" s="646"/>
      <c r="C1069" s="647">
        <f>C1068+D1068+E1068+F1068+I1068+J1068</f>
        <v>110700</v>
      </c>
      <c r="D1069" s="647"/>
      <c r="E1069" s="647"/>
      <c r="F1069" s="647"/>
      <c r="G1069" s="647"/>
      <c r="H1069" s="647"/>
      <c r="I1069" s="647"/>
      <c r="J1069" s="647"/>
      <c r="K1069" s="481"/>
      <c r="L1069" s="488"/>
    </row>
    <row r="1072" spans="1:16" ht="25.2" customHeight="1" x14ac:dyDescent="0.4">
      <c r="A1072" s="471" t="s">
        <v>0</v>
      </c>
      <c r="B1072" s="471" t="s">
        <v>1</v>
      </c>
      <c r="C1072" s="471" t="s">
        <v>557</v>
      </c>
      <c r="D1072" s="471" t="s">
        <v>287</v>
      </c>
      <c r="E1072" s="471" t="s">
        <v>74</v>
      </c>
      <c r="F1072" s="471" t="s">
        <v>3</v>
      </c>
      <c r="G1072" s="471" t="s">
        <v>4</v>
      </c>
      <c r="H1072" s="471" t="s">
        <v>5</v>
      </c>
      <c r="I1072" s="471" t="s">
        <v>6</v>
      </c>
      <c r="J1072" s="471" t="s">
        <v>7</v>
      </c>
      <c r="K1072" s="471" t="s">
        <v>60</v>
      </c>
      <c r="L1072" s="471" t="s">
        <v>8</v>
      </c>
      <c r="O1072" s="43">
        <v>1487.54</v>
      </c>
      <c r="P1072" s="43"/>
    </row>
    <row r="1073" spans="1:16" ht="25.2" customHeight="1" x14ac:dyDescent="0.4">
      <c r="A1073" s="658">
        <v>45497</v>
      </c>
      <c r="B1073" s="486" t="s">
        <v>390</v>
      </c>
      <c r="C1073" s="473"/>
      <c r="D1073" s="473"/>
      <c r="E1073" s="474">
        <f>1200+10000+10000+1800</f>
        <v>23000</v>
      </c>
      <c r="F1073" s="475"/>
      <c r="G1073" s="474"/>
      <c r="H1073" s="474"/>
      <c r="I1073" s="473"/>
      <c r="J1073" s="473"/>
      <c r="K1073" s="476" t="s">
        <v>61</v>
      </c>
      <c r="L1073" s="477" t="s">
        <v>631</v>
      </c>
      <c r="O1073" s="43">
        <v>1487.54</v>
      </c>
    </row>
    <row r="1074" spans="1:16" ht="25.2" customHeight="1" x14ac:dyDescent="0.4">
      <c r="A1074" s="658"/>
      <c r="B1074" s="486" t="s">
        <v>390</v>
      </c>
      <c r="C1074" s="473"/>
      <c r="D1074" s="473"/>
      <c r="E1074" s="474"/>
      <c r="F1074" s="475"/>
      <c r="G1074" s="474"/>
      <c r="H1074" s="474"/>
      <c r="I1074" s="473"/>
      <c r="J1074" s="473">
        <v>17500</v>
      </c>
      <c r="K1074" s="476" t="s">
        <v>62</v>
      </c>
      <c r="L1074" s="477" t="s">
        <v>633</v>
      </c>
      <c r="O1074" s="489">
        <f>O1072-O1073</f>
        <v>0</v>
      </c>
    </row>
    <row r="1075" spans="1:16" ht="24.6" customHeight="1" x14ac:dyDescent="0.4">
      <c r="A1075" s="658"/>
      <c r="B1075" s="486" t="s">
        <v>390</v>
      </c>
      <c r="C1075" s="473"/>
      <c r="D1075" s="473"/>
      <c r="E1075" s="474"/>
      <c r="F1075" s="475">
        <f>O1075*N1075/9</f>
        <v>29800</v>
      </c>
      <c r="G1075" s="474"/>
      <c r="H1075" s="474"/>
      <c r="I1075" s="473"/>
      <c r="J1075" s="473"/>
      <c r="K1075" s="476" t="s">
        <v>63</v>
      </c>
      <c r="L1075" s="487" t="s">
        <v>632</v>
      </c>
      <c r="N1075" s="1">
        <v>180.29767266762576</v>
      </c>
      <c r="O1075" s="366">
        <f>O1072</f>
        <v>1487.54</v>
      </c>
    </row>
    <row r="1076" spans="1:16" ht="25.2" customHeight="1" x14ac:dyDescent="0.4">
      <c r="A1076" s="645" t="s">
        <v>17</v>
      </c>
      <c r="B1076" s="645"/>
      <c r="C1076" s="474">
        <f>SUM(C1073:C1075)</f>
        <v>0</v>
      </c>
      <c r="D1076" s="474">
        <f>SUM(D1073:D1075)</f>
        <v>0</v>
      </c>
      <c r="E1076" s="474">
        <f>SUM(E1073:E1075)</f>
        <v>23000</v>
      </c>
      <c r="F1076" s="474">
        <f>ROUNDDOWN(SUM(F1073:F1075),0)</f>
        <v>29800</v>
      </c>
      <c r="G1076" s="474" t="e">
        <f>SUM(#REF!)</f>
        <v>#REF!</v>
      </c>
      <c r="H1076" s="474" t="e">
        <f>SUM(#REF!)</f>
        <v>#REF!</v>
      </c>
      <c r="I1076" s="474">
        <f>SUM(I1073:I1075)</f>
        <v>0</v>
      </c>
      <c r="J1076" s="474">
        <f>SUM(J1073:J1075)</f>
        <v>17500</v>
      </c>
      <c r="K1076" s="476" t="s">
        <v>63</v>
      </c>
      <c r="L1076" s="487" t="s">
        <v>626</v>
      </c>
    </row>
    <row r="1077" spans="1:16" ht="25.2" customHeight="1" x14ac:dyDescent="0.4">
      <c r="A1077" s="646" t="s">
        <v>18</v>
      </c>
      <c r="B1077" s="646"/>
      <c r="C1077" s="647">
        <f>C1076+D1076+E1076+F1076+I1076+J1076</f>
        <v>70300</v>
      </c>
      <c r="D1077" s="647"/>
      <c r="E1077" s="647"/>
      <c r="F1077" s="647"/>
      <c r="G1077" s="647"/>
      <c r="H1077" s="647"/>
      <c r="I1077" s="647"/>
      <c r="J1077" s="647"/>
      <c r="K1077" s="481"/>
      <c r="L1077" s="488"/>
    </row>
    <row r="1080" spans="1:16" ht="25.2" customHeight="1" x14ac:dyDescent="0.4">
      <c r="A1080" s="471" t="s">
        <v>0</v>
      </c>
      <c r="B1080" s="471" t="s">
        <v>1</v>
      </c>
      <c r="C1080" s="471" t="s">
        <v>557</v>
      </c>
      <c r="D1080" s="471" t="s">
        <v>287</v>
      </c>
      <c r="E1080" s="471" t="s">
        <v>74</v>
      </c>
      <c r="F1080" s="471" t="s">
        <v>3</v>
      </c>
      <c r="G1080" s="471" t="s">
        <v>4</v>
      </c>
      <c r="H1080" s="471" t="s">
        <v>5</v>
      </c>
      <c r="I1080" s="471" t="s">
        <v>6</v>
      </c>
      <c r="J1080" s="471" t="s">
        <v>7</v>
      </c>
      <c r="K1080" s="471" t="s">
        <v>60</v>
      </c>
      <c r="L1080" s="471" t="s">
        <v>8</v>
      </c>
      <c r="O1080" s="43">
        <v>1487.54</v>
      </c>
      <c r="P1080" s="43"/>
    </row>
    <row r="1081" spans="1:16" ht="25.2" customHeight="1" x14ac:dyDescent="0.4">
      <c r="A1081" s="658">
        <v>45502</v>
      </c>
      <c r="B1081" s="490" t="s">
        <v>390</v>
      </c>
      <c r="C1081" s="473"/>
      <c r="D1081" s="473"/>
      <c r="E1081" s="474">
        <f>1200+10000+10000+1800</f>
        <v>23000</v>
      </c>
      <c r="F1081" s="475"/>
      <c r="G1081" s="474"/>
      <c r="H1081" s="474"/>
      <c r="I1081" s="473"/>
      <c r="J1081" s="473"/>
      <c r="K1081" s="476" t="s">
        <v>61</v>
      </c>
      <c r="L1081" s="477" t="s">
        <v>631</v>
      </c>
      <c r="O1081" s="43">
        <v>1487.54</v>
      </c>
    </row>
    <row r="1082" spans="1:16" ht="24.6" customHeight="1" x14ac:dyDescent="0.4">
      <c r="A1082" s="658"/>
      <c r="B1082" s="490" t="s">
        <v>390</v>
      </c>
      <c r="C1082" s="473"/>
      <c r="D1082" s="473"/>
      <c r="E1082" s="474"/>
      <c r="F1082" s="475">
        <f>O1082*N1082/9</f>
        <v>29800</v>
      </c>
      <c r="G1082" s="474"/>
      <c r="H1082" s="474"/>
      <c r="I1082" s="473"/>
      <c r="J1082" s="473"/>
      <c r="K1082" s="476" t="s">
        <v>63</v>
      </c>
      <c r="L1082" s="491" t="s">
        <v>632</v>
      </c>
      <c r="N1082" s="1">
        <v>180.29767266762576</v>
      </c>
      <c r="O1082" s="366">
        <f>O1080</f>
        <v>1487.54</v>
      </c>
    </row>
    <row r="1083" spans="1:16" ht="25.2" customHeight="1" x14ac:dyDescent="0.4">
      <c r="A1083" s="645" t="s">
        <v>17</v>
      </c>
      <c r="B1083" s="645"/>
      <c r="C1083" s="474">
        <f>SUM(C1081:C1082)</f>
        <v>0</v>
      </c>
      <c r="D1083" s="474">
        <f>SUM(D1081:D1082)</f>
        <v>0</v>
      </c>
      <c r="E1083" s="474">
        <f>SUM(E1081:E1082)</f>
        <v>23000</v>
      </c>
      <c r="F1083" s="474">
        <f>ROUNDDOWN(SUM(F1081:F1082),0)</f>
        <v>29800</v>
      </c>
      <c r="G1083" s="474" t="e">
        <f>SUM(#REF!)</f>
        <v>#REF!</v>
      </c>
      <c r="H1083" s="474" t="e">
        <f>SUM(#REF!)</f>
        <v>#REF!</v>
      </c>
      <c r="I1083" s="474">
        <f>SUM(I1081:I1082)</f>
        <v>0</v>
      </c>
      <c r="J1083" s="474">
        <f>SUM(J1081:J1082)</f>
        <v>0</v>
      </c>
      <c r="K1083" s="476" t="s">
        <v>63</v>
      </c>
      <c r="L1083" s="491" t="s">
        <v>626</v>
      </c>
    </row>
    <row r="1084" spans="1:16" ht="25.2" customHeight="1" x14ac:dyDescent="0.4">
      <c r="A1084" s="646" t="s">
        <v>18</v>
      </c>
      <c r="B1084" s="646"/>
      <c r="C1084" s="647">
        <f>C1083+D1083+E1083+F1083+I1083+J1083</f>
        <v>52800</v>
      </c>
      <c r="D1084" s="647"/>
      <c r="E1084" s="647"/>
      <c r="F1084" s="647"/>
      <c r="G1084" s="647"/>
      <c r="H1084" s="647"/>
      <c r="I1084" s="647"/>
      <c r="J1084" s="647"/>
      <c r="K1084" s="481"/>
      <c r="L1084" s="492"/>
    </row>
    <row r="1086" spans="1:16" ht="25.2" customHeight="1" x14ac:dyDescent="0.4">
      <c r="A1086" s="471" t="s">
        <v>0</v>
      </c>
      <c r="B1086" s="471" t="s">
        <v>1</v>
      </c>
      <c r="C1086" s="471" t="s">
        <v>557</v>
      </c>
      <c r="D1086" s="471" t="s">
        <v>287</v>
      </c>
      <c r="E1086" s="471" t="s">
        <v>74</v>
      </c>
      <c r="F1086" s="471" t="s">
        <v>3</v>
      </c>
      <c r="G1086" s="471" t="s">
        <v>4</v>
      </c>
      <c r="H1086" s="471" t="s">
        <v>5</v>
      </c>
      <c r="I1086" s="471" t="s">
        <v>6</v>
      </c>
      <c r="J1086" s="471" t="s">
        <v>7</v>
      </c>
      <c r="K1086" s="471" t="s">
        <v>60</v>
      </c>
      <c r="L1086" s="471" t="s">
        <v>8</v>
      </c>
      <c r="O1086" s="43">
        <v>1487.54</v>
      </c>
      <c r="P1086" s="43"/>
    </row>
    <row r="1087" spans="1:16" ht="25.2" customHeight="1" x14ac:dyDescent="0.4">
      <c r="A1087" s="658">
        <v>45515</v>
      </c>
      <c r="B1087" s="493" t="s">
        <v>390</v>
      </c>
      <c r="C1087" s="473"/>
      <c r="D1087" s="473"/>
      <c r="E1087" s="474"/>
      <c r="F1087" s="475"/>
      <c r="G1087" s="474"/>
      <c r="H1087" s="474"/>
      <c r="I1087" s="473"/>
      <c r="J1087" s="473">
        <v>9800</v>
      </c>
      <c r="K1087" s="476" t="s">
        <v>61</v>
      </c>
      <c r="L1087" s="477" t="s">
        <v>634</v>
      </c>
      <c r="O1087" s="43">
        <v>1487.54</v>
      </c>
    </row>
    <row r="1088" spans="1:16" ht="24.6" customHeight="1" x14ac:dyDescent="0.4">
      <c r="A1088" s="658"/>
      <c r="B1088" s="493" t="s">
        <v>390</v>
      </c>
      <c r="C1088" s="473"/>
      <c r="D1088" s="473"/>
      <c r="E1088" s="474"/>
      <c r="F1088" s="475">
        <f>O1088*N1088/9</f>
        <v>0</v>
      </c>
      <c r="G1088" s="474"/>
      <c r="H1088" s="474"/>
      <c r="I1088" s="473"/>
      <c r="J1088" s="473"/>
      <c r="K1088" s="476" t="s">
        <v>63</v>
      </c>
      <c r="L1088" s="494" t="s">
        <v>632</v>
      </c>
      <c r="N1088" s="1">
        <v>0</v>
      </c>
      <c r="O1088" s="366">
        <f>O1086</f>
        <v>1487.54</v>
      </c>
    </row>
    <row r="1089" spans="1:16" ht="25.2" customHeight="1" x14ac:dyDescent="0.4">
      <c r="A1089" s="645" t="s">
        <v>17</v>
      </c>
      <c r="B1089" s="645"/>
      <c r="C1089" s="474">
        <f>SUM(C1087:C1088)</f>
        <v>0</v>
      </c>
      <c r="D1089" s="474">
        <f>SUM(D1087:D1088)</f>
        <v>0</v>
      </c>
      <c r="E1089" s="474">
        <f>SUM(E1087:E1088)</f>
        <v>0</v>
      </c>
      <c r="F1089" s="474">
        <f>ROUNDDOWN(SUM(F1087:F1088),0)</f>
        <v>0</v>
      </c>
      <c r="G1089" s="474" t="e">
        <f>SUM(#REF!)</f>
        <v>#REF!</v>
      </c>
      <c r="H1089" s="474" t="e">
        <f>SUM(#REF!)</f>
        <v>#REF!</v>
      </c>
      <c r="I1089" s="474">
        <f>SUM(I1087:I1088)</f>
        <v>0</v>
      </c>
      <c r="J1089" s="474">
        <f>SUM(J1087:J1088)</f>
        <v>9800</v>
      </c>
      <c r="K1089" s="476" t="s">
        <v>63</v>
      </c>
      <c r="L1089" s="494" t="s">
        <v>626</v>
      </c>
    </row>
    <row r="1090" spans="1:16" ht="25.2" customHeight="1" x14ac:dyDescent="0.4">
      <c r="A1090" s="646" t="s">
        <v>18</v>
      </c>
      <c r="B1090" s="646"/>
      <c r="C1090" s="647">
        <f>C1089+D1089+E1089+F1089+I1089+J1089</f>
        <v>9800</v>
      </c>
      <c r="D1090" s="647"/>
      <c r="E1090" s="647"/>
      <c r="F1090" s="647"/>
      <c r="G1090" s="647"/>
      <c r="H1090" s="647"/>
      <c r="I1090" s="647"/>
      <c r="J1090" s="647"/>
      <c r="K1090" s="481"/>
      <c r="L1090" s="495"/>
    </row>
    <row r="1092" spans="1:16" ht="25.2" customHeight="1" x14ac:dyDescent="0.4">
      <c r="A1092" s="471" t="s">
        <v>0</v>
      </c>
      <c r="B1092" s="471" t="s">
        <v>1</v>
      </c>
      <c r="C1092" s="471" t="s">
        <v>557</v>
      </c>
      <c r="D1092" s="471" t="s">
        <v>287</v>
      </c>
      <c r="E1092" s="471" t="s">
        <v>74</v>
      </c>
      <c r="F1092" s="471" t="s">
        <v>3</v>
      </c>
      <c r="G1092" s="471" t="s">
        <v>4</v>
      </c>
      <c r="H1092" s="471" t="s">
        <v>5</v>
      </c>
      <c r="I1092" s="471" t="s">
        <v>6</v>
      </c>
      <c r="J1092" s="471" t="s">
        <v>7</v>
      </c>
      <c r="K1092" s="471" t="s">
        <v>60</v>
      </c>
      <c r="L1092" s="471" t="s">
        <v>8</v>
      </c>
      <c r="O1092" s="43">
        <v>1542.46</v>
      </c>
      <c r="P1092" s="43"/>
    </row>
    <row r="1093" spans="1:16" ht="25.2" customHeight="1" x14ac:dyDescent="0.4">
      <c r="A1093" s="658">
        <v>45524</v>
      </c>
      <c r="B1093" s="496" t="s">
        <v>390</v>
      </c>
      <c r="C1093" s="473">
        <v>0</v>
      </c>
      <c r="D1093" s="473">
        <v>0</v>
      </c>
      <c r="E1093" s="474">
        <f>3000+3400</f>
        <v>6400</v>
      </c>
      <c r="F1093" s="475"/>
      <c r="G1093" s="474"/>
      <c r="H1093" s="474"/>
      <c r="I1093" s="473"/>
      <c r="J1093" s="473">
        <v>0</v>
      </c>
      <c r="K1093" s="476" t="s">
        <v>61</v>
      </c>
      <c r="L1093" s="477" t="s">
        <v>636</v>
      </c>
      <c r="O1093" s="43">
        <v>1487.54</v>
      </c>
    </row>
    <row r="1094" spans="1:16" ht="24.6" customHeight="1" x14ac:dyDescent="0.4">
      <c r="A1094" s="658"/>
      <c r="B1094" s="496" t="s">
        <v>390</v>
      </c>
      <c r="C1094" s="473"/>
      <c r="D1094" s="473"/>
      <c r="E1094" s="474"/>
      <c r="F1094" s="475">
        <f>O1094*N1094/9</f>
        <v>22600.46668888889</v>
      </c>
      <c r="G1094" s="474"/>
      <c r="H1094" s="474"/>
      <c r="I1094" s="473"/>
      <c r="J1094" s="473"/>
      <c r="K1094" s="476" t="s">
        <v>63</v>
      </c>
      <c r="L1094" s="497" t="s">
        <v>637</v>
      </c>
      <c r="N1094" s="1">
        <v>131.87</v>
      </c>
      <c r="O1094" s="366">
        <f>O1092</f>
        <v>1542.46</v>
      </c>
    </row>
    <row r="1095" spans="1:16" ht="25.2" customHeight="1" x14ac:dyDescent="0.4">
      <c r="A1095" s="645" t="s">
        <v>17</v>
      </c>
      <c r="B1095" s="645"/>
      <c r="C1095" s="474">
        <f>SUM(C1093:C1094)</f>
        <v>0</v>
      </c>
      <c r="D1095" s="474">
        <f>SUM(D1093:D1094)</f>
        <v>0</v>
      </c>
      <c r="E1095" s="474">
        <f>SUM(E1093:E1094)</f>
        <v>6400</v>
      </c>
      <c r="F1095" s="474">
        <f>ROUNDDOWN(SUM(F1093:F1094),0)</f>
        <v>22600</v>
      </c>
      <c r="G1095" s="474" t="e">
        <f>SUM(#REF!)</f>
        <v>#REF!</v>
      </c>
      <c r="H1095" s="474" t="e">
        <f>SUM(#REF!)</f>
        <v>#REF!</v>
      </c>
      <c r="I1095" s="474">
        <f>SUM(I1093:I1094)</f>
        <v>0</v>
      </c>
      <c r="J1095" s="474">
        <f>SUM(J1093:J1094)</f>
        <v>0</v>
      </c>
      <c r="K1095" s="476" t="s">
        <v>63</v>
      </c>
      <c r="L1095" s="497" t="s">
        <v>635</v>
      </c>
    </row>
    <row r="1096" spans="1:16" ht="25.2" customHeight="1" x14ac:dyDescent="0.4">
      <c r="A1096" s="646" t="s">
        <v>18</v>
      </c>
      <c r="B1096" s="646"/>
      <c r="C1096" s="647">
        <f>C1095+D1095+E1095+F1095+I1095+J1095</f>
        <v>29000</v>
      </c>
      <c r="D1096" s="647"/>
      <c r="E1096" s="647"/>
      <c r="F1096" s="647"/>
      <c r="G1096" s="647"/>
      <c r="H1096" s="647"/>
      <c r="I1096" s="647"/>
      <c r="J1096" s="647"/>
      <c r="K1096" s="481"/>
      <c r="L1096" s="498"/>
    </row>
    <row r="1098" spans="1:16" ht="25.2" customHeight="1" x14ac:dyDescent="0.4">
      <c r="A1098" s="471" t="s">
        <v>0</v>
      </c>
      <c r="B1098" s="471" t="s">
        <v>1</v>
      </c>
      <c r="C1098" s="471" t="s">
        <v>557</v>
      </c>
      <c r="D1098" s="471" t="s">
        <v>287</v>
      </c>
      <c r="E1098" s="471" t="s">
        <v>74</v>
      </c>
      <c r="F1098" s="471" t="s">
        <v>3</v>
      </c>
      <c r="G1098" s="471" t="s">
        <v>4</v>
      </c>
      <c r="H1098" s="471" t="s">
        <v>5</v>
      </c>
      <c r="I1098" s="471" t="s">
        <v>6</v>
      </c>
      <c r="J1098" s="471" t="s">
        <v>7</v>
      </c>
      <c r="K1098" s="471" t="s">
        <v>60</v>
      </c>
      <c r="L1098" s="471" t="s">
        <v>8</v>
      </c>
      <c r="O1098" s="43">
        <v>1528.85</v>
      </c>
      <c r="P1098" s="43"/>
    </row>
    <row r="1099" spans="1:16" ht="25.2" customHeight="1" x14ac:dyDescent="0.4">
      <c r="A1099" s="658">
        <v>45538</v>
      </c>
      <c r="B1099" s="499" t="s">
        <v>390</v>
      </c>
      <c r="C1099" s="473"/>
      <c r="D1099" s="473"/>
      <c r="E1099" s="474">
        <f>1200+10000+10000+1800</f>
        <v>23000</v>
      </c>
      <c r="F1099" s="475"/>
      <c r="G1099" s="474"/>
      <c r="H1099" s="474"/>
      <c r="I1099" s="473"/>
      <c r="J1099" s="473"/>
      <c r="K1099" s="476" t="s">
        <v>61</v>
      </c>
      <c r="L1099" s="477" t="s">
        <v>631</v>
      </c>
      <c r="O1099" s="43">
        <v>1487.54</v>
      </c>
    </row>
    <row r="1100" spans="1:16" ht="25.2" customHeight="1" x14ac:dyDescent="0.4">
      <c r="A1100" s="658"/>
      <c r="B1100" s="499" t="s">
        <v>390</v>
      </c>
      <c r="C1100" s="473"/>
      <c r="D1100" s="473"/>
      <c r="E1100" s="474"/>
      <c r="F1100" s="475"/>
      <c r="G1100" s="474"/>
      <c r="H1100" s="474"/>
      <c r="I1100" s="473"/>
      <c r="J1100" s="473">
        <v>30500</v>
      </c>
      <c r="K1100" s="476" t="s">
        <v>62</v>
      </c>
      <c r="L1100" s="477" t="s">
        <v>638</v>
      </c>
      <c r="O1100" s="43"/>
    </row>
    <row r="1101" spans="1:16" ht="24.6" customHeight="1" x14ac:dyDescent="0.4">
      <c r="A1101" s="658"/>
      <c r="B1101" s="499" t="s">
        <v>390</v>
      </c>
      <c r="C1101" s="473"/>
      <c r="D1101" s="473"/>
      <c r="E1101" s="474"/>
      <c r="F1101" s="475">
        <f>O1101*N1101/9</f>
        <v>31000.831194444443</v>
      </c>
      <c r="G1101" s="474"/>
      <c r="H1101" s="474"/>
      <c r="I1101" s="473"/>
      <c r="J1101" s="473"/>
      <c r="K1101" s="476" t="s">
        <v>63</v>
      </c>
      <c r="L1101" s="500" t="s">
        <v>640</v>
      </c>
      <c r="N1101" s="1">
        <v>182.495</v>
      </c>
      <c r="O1101" s="366">
        <f>O1098</f>
        <v>1528.85</v>
      </c>
    </row>
    <row r="1102" spans="1:16" ht="25.2" customHeight="1" x14ac:dyDescent="0.4">
      <c r="A1102" s="645" t="s">
        <v>17</v>
      </c>
      <c r="B1102" s="645"/>
      <c r="C1102" s="474">
        <f>SUM(C1099:C1101)</f>
        <v>0</v>
      </c>
      <c r="D1102" s="474">
        <f>SUM(D1099:D1101)</f>
        <v>0</v>
      </c>
      <c r="E1102" s="474">
        <f>SUM(E1099:E1101)</f>
        <v>23000</v>
      </c>
      <c r="F1102" s="474">
        <f>ROUNDDOWN(SUM(F1099:F1101),0)</f>
        <v>31000</v>
      </c>
      <c r="G1102" s="474" t="e">
        <f>SUM(#REF!)</f>
        <v>#REF!</v>
      </c>
      <c r="H1102" s="474" t="e">
        <f>SUM(#REF!)</f>
        <v>#REF!</v>
      </c>
      <c r="I1102" s="474">
        <f>SUM(I1099:I1101)</f>
        <v>0</v>
      </c>
      <c r="J1102" s="474">
        <f>SUM(J1099:J1101)</f>
        <v>30500</v>
      </c>
      <c r="K1102" s="476" t="s">
        <v>63</v>
      </c>
      <c r="L1102" s="500" t="s">
        <v>639</v>
      </c>
    </row>
    <row r="1103" spans="1:16" ht="25.2" customHeight="1" x14ac:dyDescent="0.4">
      <c r="A1103" s="646" t="s">
        <v>18</v>
      </c>
      <c r="B1103" s="646"/>
      <c r="C1103" s="647">
        <f>C1102+D1102+E1102+F1102+I1102+J1102</f>
        <v>84500</v>
      </c>
      <c r="D1103" s="647"/>
      <c r="E1103" s="647"/>
      <c r="F1103" s="647"/>
      <c r="G1103" s="647"/>
      <c r="H1103" s="647"/>
      <c r="I1103" s="647"/>
      <c r="J1103" s="647"/>
      <c r="K1103" s="481"/>
      <c r="L1103" s="501"/>
    </row>
    <row r="1106" spans="1:16" ht="25.2" customHeight="1" x14ac:dyDescent="0.4">
      <c r="A1106" s="471" t="s">
        <v>0</v>
      </c>
      <c r="B1106" s="471" t="s">
        <v>1</v>
      </c>
      <c r="C1106" s="471" t="s">
        <v>557</v>
      </c>
      <c r="D1106" s="471" t="s">
        <v>287</v>
      </c>
      <c r="E1106" s="471" t="s">
        <v>74</v>
      </c>
      <c r="F1106" s="471" t="s">
        <v>3</v>
      </c>
      <c r="G1106" s="471" t="s">
        <v>4</v>
      </c>
      <c r="H1106" s="471" t="s">
        <v>5</v>
      </c>
      <c r="I1106" s="471" t="s">
        <v>6</v>
      </c>
      <c r="J1106" s="471" t="s">
        <v>7</v>
      </c>
      <c r="K1106" s="471" t="s">
        <v>60</v>
      </c>
      <c r="L1106" s="471" t="s">
        <v>8</v>
      </c>
      <c r="O1106" s="43">
        <v>1528.85</v>
      </c>
      <c r="P1106" s="43"/>
    </row>
    <row r="1107" spans="1:16" ht="25.2" customHeight="1" x14ac:dyDescent="0.4">
      <c r="A1107" s="642">
        <v>45555</v>
      </c>
      <c r="B1107" s="502" t="s">
        <v>390</v>
      </c>
      <c r="C1107" s="473"/>
      <c r="D1107" s="473"/>
      <c r="E1107" s="474">
        <f>1800+1500+10000+10000</f>
        <v>23300</v>
      </c>
      <c r="F1107" s="475"/>
      <c r="G1107" s="474"/>
      <c r="H1107" s="474"/>
      <c r="I1107" s="473"/>
      <c r="J1107" s="473"/>
      <c r="K1107" s="476" t="s">
        <v>61</v>
      </c>
      <c r="L1107" s="477" t="s">
        <v>631</v>
      </c>
      <c r="O1107" s="43">
        <v>1487.54</v>
      </c>
    </row>
    <row r="1108" spans="1:16" ht="25.2" customHeight="1" x14ac:dyDescent="0.4">
      <c r="A1108" s="643"/>
      <c r="B1108" s="502" t="s">
        <v>390</v>
      </c>
      <c r="C1108" s="473"/>
      <c r="D1108" s="473"/>
      <c r="E1108" s="474"/>
      <c r="F1108" s="475"/>
      <c r="G1108" s="474"/>
      <c r="H1108" s="474"/>
      <c r="I1108" s="473"/>
      <c r="J1108" s="473">
        <v>9000</v>
      </c>
      <c r="K1108" s="476" t="s">
        <v>62</v>
      </c>
      <c r="L1108" s="477" t="s">
        <v>641</v>
      </c>
      <c r="O1108" s="43"/>
    </row>
    <row r="1109" spans="1:16" ht="24.6" customHeight="1" x14ac:dyDescent="0.4">
      <c r="A1109" s="644"/>
      <c r="B1109" s="502" t="s">
        <v>390</v>
      </c>
      <c r="C1109" s="473"/>
      <c r="D1109" s="473"/>
      <c r="E1109" s="474"/>
      <c r="F1109" s="475">
        <f>O1109*N1109/9</f>
        <v>31000.831194444443</v>
      </c>
      <c r="G1109" s="474"/>
      <c r="H1109" s="474"/>
      <c r="I1109" s="473"/>
      <c r="J1109" s="473"/>
      <c r="K1109" s="476" t="s">
        <v>63</v>
      </c>
      <c r="L1109" s="503" t="s">
        <v>640</v>
      </c>
      <c r="N1109" s="1">
        <v>182.495</v>
      </c>
      <c r="O1109" s="366">
        <f>O1106</f>
        <v>1528.85</v>
      </c>
    </row>
    <row r="1110" spans="1:16" ht="25.2" customHeight="1" x14ac:dyDescent="0.4">
      <c r="A1110" s="642">
        <v>45561</v>
      </c>
      <c r="B1110" s="505" t="s">
        <v>390</v>
      </c>
      <c r="C1110" s="473"/>
      <c r="D1110" s="473"/>
      <c r="E1110" s="474">
        <f>1800+1200</f>
        <v>3000</v>
      </c>
      <c r="F1110" s="475"/>
      <c r="G1110" s="474"/>
      <c r="H1110" s="474"/>
      <c r="I1110" s="473"/>
      <c r="J1110" s="473"/>
      <c r="K1110" s="476"/>
      <c r="L1110" s="477" t="s">
        <v>643</v>
      </c>
      <c r="O1110" s="43"/>
    </row>
    <row r="1111" spans="1:16" ht="25.2" customHeight="1" x14ac:dyDescent="0.4">
      <c r="A1111" s="643"/>
      <c r="B1111" s="505" t="s">
        <v>390</v>
      </c>
      <c r="C1111" s="473"/>
      <c r="D1111" s="473"/>
      <c r="E1111" s="474"/>
      <c r="F1111" s="475"/>
      <c r="G1111" s="474"/>
      <c r="H1111" s="474"/>
      <c r="I1111" s="473"/>
      <c r="J1111" s="473">
        <v>9100</v>
      </c>
      <c r="K1111" s="476"/>
      <c r="L1111" s="477" t="s">
        <v>642</v>
      </c>
      <c r="O1111" s="43"/>
    </row>
    <row r="1112" spans="1:16" ht="24.6" customHeight="1" x14ac:dyDescent="0.4">
      <c r="A1112" s="644"/>
      <c r="B1112" s="502" t="s">
        <v>390</v>
      </c>
      <c r="C1112" s="473"/>
      <c r="D1112" s="473"/>
      <c r="E1112" s="474"/>
      <c r="F1112" s="475">
        <f>O1112*N1112/9</f>
        <v>17999.660666666663</v>
      </c>
      <c r="G1112" s="474"/>
      <c r="H1112" s="474"/>
      <c r="I1112" s="473"/>
      <c r="J1112" s="473"/>
      <c r="K1112" s="476" t="s">
        <v>63</v>
      </c>
      <c r="L1112" s="503" t="s">
        <v>640</v>
      </c>
      <c r="N1112" s="1">
        <v>105.96</v>
      </c>
      <c r="O1112" s="366">
        <f>O1106</f>
        <v>1528.85</v>
      </c>
    </row>
    <row r="1113" spans="1:16" ht="25.2" customHeight="1" x14ac:dyDescent="0.4">
      <c r="A1113" s="645" t="s">
        <v>17</v>
      </c>
      <c r="B1113" s="645"/>
      <c r="C1113" s="474">
        <f>SUM(C1107:C1112)</f>
        <v>0</v>
      </c>
      <c r="D1113" s="474">
        <f>SUM(D1107:D1112)</f>
        <v>0</v>
      </c>
      <c r="E1113" s="474">
        <f>SUM(E1107:E1112)</f>
        <v>26300</v>
      </c>
      <c r="F1113" s="474">
        <f>ROUNDDOWN(SUM(F1107:F1112),0)</f>
        <v>49000</v>
      </c>
      <c r="G1113" s="474" t="e">
        <f>SUM(#REF!)</f>
        <v>#REF!</v>
      </c>
      <c r="H1113" s="474" t="e">
        <f>SUM(#REF!)</f>
        <v>#REF!</v>
      </c>
      <c r="I1113" s="474">
        <f>SUM(I1107:I1112)</f>
        <v>0</v>
      </c>
      <c r="J1113" s="474">
        <f>SUM(J1107:J1112)</f>
        <v>18100</v>
      </c>
      <c r="K1113" s="476" t="s">
        <v>63</v>
      </c>
      <c r="L1113" s="503" t="s">
        <v>639</v>
      </c>
    </row>
    <row r="1114" spans="1:16" ht="25.2" customHeight="1" x14ac:dyDescent="0.4">
      <c r="A1114" s="646" t="s">
        <v>18</v>
      </c>
      <c r="B1114" s="646"/>
      <c r="C1114" s="647">
        <f>C1113+D1113+E1113+F1113+I1113+J1113</f>
        <v>93400</v>
      </c>
      <c r="D1114" s="647"/>
      <c r="E1114" s="647"/>
      <c r="F1114" s="647"/>
      <c r="G1114" s="647"/>
      <c r="H1114" s="647"/>
      <c r="I1114" s="647"/>
      <c r="J1114" s="647"/>
      <c r="K1114" s="481"/>
      <c r="L1114" s="504"/>
    </row>
    <row r="1117" spans="1:16" ht="25.2" customHeight="1" x14ac:dyDescent="0.4">
      <c r="A1117" s="471" t="s">
        <v>0</v>
      </c>
      <c r="B1117" s="471" t="s">
        <v>1</v>
      </c>
      <c r="C1117" s="471" t="s">
        <v>645</v>
      </c>
      <c r="D1117" s="471" t="s">
        <v>287</v>
      </c>
      <c r="E1117" s="471" t="s">
        <v>74</v>
      </c>
      <c r="F1117" s="471" t="s">
        <v>3</v>
      </c>
      <c r="G1117" s="471" t="s">
        <v>4</v>
      </c>
      <c r="H1117" s="471" t="s">
        <v>5</v>
      </c>
      <c r="I1117" s="471" t="s">
        <v>6</v>
      </c>
      <c r="J1117" s="471" t="s">
        <v>7</v>
      </c>
      <c r="K1117" s="471" t="s">
        <v>60</v>
      </c>
      <c r="L1117" s="471" t="s">
        <v>8</v>
      </c>
      <c r="O1117" s="43">
        <v>1528.85</v>
      </c>
      <c r="P1117" s="43"/>
    </row>
    <row r="1118" spans="1:16" ht="25.2" customHeight="1" x14ac:dyDescent="0.4">
      <c r="A1118" s="508">
        <v>45564</v>
      </c>
      <c r="B1118" s="505" t="s">
        <v>390</v>
      </c>
      <c r="C1118" s="473"/>
      <c r="D1118" s="473"/>
      <c r="E1118" s="474"/>
      <c r="F1118" s="475"/>
      <c r="G1118" s="474"/>
      <c r="H1118" s="474"/>
      <c r="I1118" s="473"/>
      <c r="J1118" s="473">
        <v>18000</v>
      </c>
      <c r="K1118" s="476" t="s">
        <v>61</v>
      </c>
      <c r="L1118" s="477" t="s">
        <v>644</v>
      </c>
      <c r="O1118" s="43">
        <v>1487.54</v>
      </c>
    </row>
    <row r="1119" spans="1:16" ht="25.2" customHeight="1" x14ac:dyDescent="0.4">
      <c r="A1119" s="508">
        <v>45565</v>
      </c>
      <c r="B1119" s="505" t="s">
        <v>390</v>
      </c>
      <c r="C1119" s="473">
        <v>62260</v>
      </c>
      <c r="D1119" s="473"/>
      <c r="E1119" s="474"/>
      <c r="F1119" s="475"/>
      <c r="G1119" s="474"/>
      <c r="H1119" s="474"/>
      <c r="I1119" s="473"/>
      <c r="J1119" s="473"/>
      <c r="K1119" s="476" t="s">
        <v>647</v>
      </c>
      <c r="L1119" s="477" t="s">
        <v>646</v>
      </c>
      <c r="O1119" s="43">
        <v>1487.54</v>
      </c>
    </row>
    <row r="1120" spans="1:16" ht="25.2" customHeight="1" x14ac:dyDescent="0.4">
      <c r="A1120" s="653" t="s">
        <v>17</v>
      </c>
      <c r="B1120" s="654"/>
      <c r="C1120" s="474">
        <f>SUM(C1118:C1119)</f>
        <v>62260</v>
      </c>
      <c r="D1120" s="474">
        <f t="shared" ref="D1120:J1120" si="15">SUM(D1118:D1119)</f>
        <v>0</v>
      </c>
      <c r="E1120" s="474">
        <f t="shared" si="15"/>
        <v>0</v>
      </c>
      <c r="F1120" s="474">
        <f t="shared" si="15"/>
        <v>0</v>
      </c>
      <c r="G1120" s="474">
        <f t="shared" si="15"/>
        <v>0</v>
      </c>
      <c r="H1120" s="474">
        <f t="shared" si="15"/>
        <v>0</v>
      </c>
      <c r="I1120" s="474">
        <f t="shared" si="15"/>
        <v>0</v>
      </c>
      <c r="J1120" s="474">
        <f t="shared" si="15"/>
        <v>18000</v>
      </c>
      <c r="K1120" s="476" t="s">
        <v>63</v>
      </c>
      <c r="L1120" s="506"/>
    </row>
    <row r="1121" spans="1:16" ht="25.2" customHeight="1" x14ac:dyDescent="0.4">
      <c r="A1121" s="655" t="s">
        <v>18</v>
      </c>
      <c r="B1121" s="656"/>
      <c r="C1121" s="650">
        <f>C1120+D1120+E1120+F1120+I1120+J1120</f>
        <v>80260</v>
      </c>
      <c r="D1121" s="651"/>
      <c r="E1121" s="651"/>
      <c r="F1121" s="651"/>
      <c r="G1121" s="651"/>
      <c r="H1121" s="651"/>
      <c r="I1121" s="651"/>
      <c r="J1121" s="652"/>
      <c r="K1121" s="481"/>
      <c r="L1121" s="507"/>
    </row>
    <row r="1123" spans="1:16" ht="25.2" customHeight="1" x14ac:dyDescent="0.4">
      <c r="A1123" s="471" t="s">
        <v>0</v>
      </c>
      <c r="B1123" s="471" t="s">
        <v>1</v>
      </c>
      <c r="C1123" s="471" t="s">
        <v>645</v>
      </c>
      <c r="D1123" s="471" t="s">
        <v>287</v>
      </c>
      <c r="E1123" s="471" t="s">
        <v>74</v>
      </c>
      <c r="F1123" s="471" t="s">
        <v>3</v>
      </c>
      <c r="G1123" s="471" t="s">
        <v>4</v>
      </c>
      <c r="H1123" s="471" t="s">
        <v>5</v>
      </c>
      <c r="I1123" s="471" t="s">
        <v>6</v>
      </c>
      <c r="J1123" s="471" t="s">
        <v>7</v>
      </c>
      <c r="K1123" s="471" t="s">
        <v>60</v>
      </c>
      <c r="L1123" s="471" t="s">
        <v>8</v>
      </c>
      <c r="O1123" s="43">
        <v>1528.85</v>
      </c>
      <c r="P1123" s="43"/>
    </row>
    <row r="1124" spans="1:16" ht="25.2" customHeight="1" x14ac:dyDescent="0.4">
      <c r="A1124" s="508">
        <v>45566</v>
      </c>
      <c r="B1124" s="505" t="s">
        <v>390</v>
      </c>
      <c r="C1124" s="473">
        <v>6710</v>
      </c>
      <c r="D1124" s="473"/>
      <c r="E1124" s="474"/>
      <c r="F1124" s="475"/>
      <c r="G1124" s="474"/>
      <c r="H1124" s="474"/>
      <c r="I1124" s="473"/>
      <c r="J1124" s="473"/>
      <c r="K1124" s="476" t="s">
        <v>92</v>
      </c>
      <c r="L1124" s="477" t="s">
        <v>646</v>
      </c>
      <c r="O1124" s="43">
        <v>1487.54</v>
      </c>
    </row>
    <row r="1125" spans="1:16" ht="25.2" customHeight="1" x14ac:dyDescent="0.4">
      <c r="A1125" s="653" t="s">
        <v>17</v>
      </c>
      <c r="B1125" s="654"/>
      <c r="C1125" s="474">
        <f t="shared" ref="C1125:J1125" si="16">SUM(C1124:C1124)</f>
        <v>6710</v>
      </c>
      <c r="D1125" s="474">
        <f t="shared" si="16"/>
        <v>0</v>
      </c>
      <c r="E1125" s="474">
        <f t="shared" si="16"/>
        <v>0</v>
      </c>
      <c r="F1125" s="474">
        <f t="shared" si="16"/>
        <v>0</v>
      </c>
      <c r="G1125" s="474">
        <f t="shared" si="16"/>
        <v>0</v>
      </c>
      <c r="H1125" s="474">
        <f t="shared" si="16"/>
        <v>0</v>
      </c>
      <c r="I1125" s="474">
        <f t="shared" si="16"/>
        <v>0</v>
      </c>
      <c r="J1125" s="474">
        <f t="shared" si="16"/>
        <v>0</v>
      </c>
      <c r="K1125" s="476" t="s">
        <v>63</v>
      </c>
      <c r="L1125" s="506"/>
    </row>
    <row r="1126" spans="1:16" ht="25.2" customHeight="1" x14ac:dyDescent="0.4">
      <c r="A1126" s="655" t="s">
        <v>18</v>
      </c>
      <c r="B1126" s="656"/>
      <c r="C1126" s="650">
        <f>C1125+D1125+E1125+F1125+I1125+J1125</f>
        <v>6710</v>
      </c>
      <c r="D1126" s="651"/>
      <c r="E1126" s="651"/>
      <c r="F1126" s="651"/>
      <c r="G1126" s="651"/>
      <c r="H1126" s="651"/>
      <c r="I1126" s="651"/>
      <c r="J1126" s="652"/>
      <c r="K1126" s="481"/>
      <c r="L1126" s="507"/>
    </row>
    <row r="1128" spans="1:16" ht="25.2" customHeight="1" x14ac:dyDescent="0.4">
      <c r="A1128" s="471" t="s">
        <v>0</v>
      </c>
      <c r="B1128" s="471" t="s">
        <v>1</v>
      </c>
      <c r="C1128" s="471" t="s">
        <v>645</v>
      </c>
      <c r="D1128" s="471" t="s">
        <v>287</v>
      </c>
      <c r="E1128" s="471" t="s">
        <v>74</v>
      </c>
      <c r="F1128" s="471" t="s">
        <v>3</v>
      </c>
      <c r="G1128" s="471" t="s">
        <v>4</v>
      </c>
      <c r="H1128" s="471" t="s">
        <v>5</v>
      </c>
      <c r="I1128" s="471" t="s">
        <v>6</v>
      </c>
      <c r="J1128" s="471" t="s">
        <v>7</v>
      </c>
      <c r="K1128" s="471" t="s">
        <v>60</v>
      </c>
      <c r="L1128" s="471" t="s">
        <v>8</v>
      </c>
      <c r="O1128" s="43">
        <v>1528.85</v>
      </c>
      <c r="P1128" s="43"/>
    </row>
    <row r="1129" spans="1:16" ht="25.2" customHeight="1" x14ac:dyDescent="0.4">
      <c r="A1129" s="508">
        <v>45567</v>
      </c>
      <c r="B1129" s="505" t="s">
        <v>390</v>
      </c>
      <c r="C1129" s="473"/>
      <c r="D1129" s="473"/>
      <c r="E1129" s="474"/>
      <c r="F1129" s="475"/>
      <c r="G1129" s="474"/>
      <c r="H1129" s="474"/>
      <c r="I1129" s="473"/>
      <c r="J1129" s="473">
        <v>54000</v>
      </c>
      <c r="K1129" s="476" t="s">
        <v>61</v>
      </c>
      <c r="L1129" s="477" t="s">
        <v>649</v>
      </c>
      <c r="O1129" s="43">
        <v>1487.54</v>
      </c>
    </row>
    <row r="1130" spans="1:16" ht="25.2" customHeight="1" x14ac:dyDescent="0.4">
      <c r="A1130" s="508">
        <v>45568</v>
      </c>
      <c r="B1130" s="505" t="s">
        <v>390</v>
      </c>
      <c r="C1130" s="473"/>
      <c r="D1130" s="473"/>
      <c r="E1130" s="474"/>
      <c r="F1130" s="475"/>
      <c r="G1130" s="474"/>
      <c r="H1130" s="474"/>
      <c r="I1130" s="473"/>
      <c r="J1130" s="473">
        <v>17000</v>
      </c>
      <c r="K1130" s="476" t="s">
        <v>647</v>
      </c>
      <c r="L1130" s="477" t="s">
        <v>648</v>
      </c>
      <c r="O1130" s="43">
        <v>1487.54</v>
      </c>
    </row>
    <row r="1131" spans="1:16" ht="25.2" customHeight="1" x14ac:dyDescent="0.4">
      <c r="A1131" s="653" t="s">
        <v>17</v>
      </c>
      <c r="B1131" s="654"/>
      <c r="C1131" s="474">
        <f t="shared" ref="C1131:J1131" si="17">SUM(C1129:C1130)</f>
        <v>0</v>
      </c>
      <c r="D1131" s="474">
        <f t="shared" si="17"/>
        <v>0</v>
      </c>
      <c r="E1131" s="474">
        <f t="shared" si="17"/>
        <v>0</v>
      </c>
      <c r="F1131" s="474">
        <f t="shared" si="17"/>
        <v>0</v>
      </c>
      <c r="G1131" s="474">
        <f t="shared" si="17"/>
        <v>0</v>
      </c>
      <c r="H1131" s="474">
        <f t="shared" si="17"/>
        <v>0</v>
      </c>
      <c r="I1131" s="474">
        <f t="shared" si="17"/>
        <v>0</v>
      </c>
      <c r="J1131" s="474">
        <f t="shared" si="17"/>
        <v>71000</v>
      </c>
      <c r="K1131" s="476" t="s">
        <v>63</v>
      </c>
      <c r="L1131" s="506"/>
    </row>
    <row r="1132" spans="1:16" ht="25.2" customHeight="1" x14ac:dyDescent="0.4">
      <c r="A1132" s="655" t="s">
        <v>18</v>
      </c>
      <c r="B1132" s="656"/>
      <c r="C1132" s="650">
        <f>C1131+D1131+E1131+F1131+I1131+J1131</f>
        <v>71000</v>
      </c>
      <c r="D1132" s="651"/>
      <c r="E1132" s="651"/>
      <c r="F1132" s="651"/>
      <c r="G1132" s="651"/>
      <c r="H1132" s="651"/>
      <c r="I1132" s="651"/>
      <c r="J1132" s="652"/>
      <c r="K1132" s="481"/>
      <c r="L1132" s="507"/>
    </row>
    <row r="1134" spans="1:16" ht="25.2" customHeight="1" x14ac:dyDescent="0.4">
      <c r="A1134" s="471" t="s">
        <v>0</v>
      </c>
      <c r="B1134" s="471" t="s">
        <v>1</v>
      </c>
      <c r="C1134" s="471" t="s">
        <v>201</v>
      </c>
      <c r="D1134" s="471" t="s">
        <v>287</v>
      </c>
      <c r="E1134" s="471" t="s">
        <v>74</v>
      </c>
      <c r="F1134" s="471" t="s">
        <v>3</v>
      </c>
      <c r="G1134" s="471" t="s">
        <v>4</v>
      </c>
      <c r="H1134" s="471" t="s">
        <v>5</v>
      </c>
      <c r="I1134" s="471" t="s">
        <v>6</v>
      </c>
      <c r="J1134" s="471" t="s">
        <v>7</v>
      </c>
      <c r="K1134" s="471" t="s">
        <v>60</v>
      </c>
      <c r="L1134" s="471" t="s">
        <v>8</v>
      </c>
      <c r="O1134" s="43">
        <v>1528.85</v>
      </c>
      <c r="P1134" s="43"/>
    </row>
    <row r="1135" spans="1:16" ht="25.2" customHeight="1" x14ac:dyDescent="0.4">
      <c r="A1135" s="511">
        <v>45572</v>
      </c>
      <c r="B1135" s="512" t="s">
        <v>390</v>
      </c>
      <c r="C1135" s="473"/>
      <c r="D1135" s="473"/>
      <c r="E1135" s="474"/>
      <c r="F1135" s="475"/>
      <c r="G1135" s="474"/>
      <c r="H1135" s="474"/>
      <c r="I1135" s="473"/>
      <c r="J1135" s="473">
        <f>48000*1.1</f>
        <v>52800.000000000007</v>
      </c>
      <c r="K1135" s="476" t="s">
        <v>61</v>
      </c>
      <c r="L1135" s="477" t="s">
        <v>650</v>
      </c>
      <c r="O1135" s="43">
        <v>1487.54</v>
      </c>
    </row>
    <row r="1136" spans="1:16" ht="25.2" customHeight="1" x14ac:dyDescent="0.4">
      <c r="A1136" s="653" t="s">
        <v>17</v>
      </c>
      <c r="B1136" s="654"/>
      <c r="C1136" s="474">
        <f t="shared" ref="C1136:J1136" si="18">SUM(C1135:C1135)</f>
        <v>0</v>
      </c>
      <c r="D1136" s="474">
        <f t="shared" si="18"/>
        <v>0</v>
      </c>
      <c r="E1136" s="474">
        <f t="shared" si="18"/>
        <v>0</v>
      </c>
      <c r="F1136" s="474">
        <f t="shared" si="18"/>
        <v>0</v>
      </c>
      <c r="G1136" s="474">
        <f t="shared" si="18"/>
        <v>0</v>
      </c>
      <c r="H1136" s="474">
        <f t="shared" si="18"/>
        <v>0</v>
      </c>
      <c r="I1136" s="474">
        <f t="shared" si="18"/>
        <v>0</v>
      </c>
      <c r="J1136" s="474">
        <f t="shared" si="18"/>
        <v>52800.000000000007</v>
      </c>
      <c r="K1136" s="476" t="s">
        <v>63</v>
      </c>
      <c r="L1136" s="509"/>
    </row>
    <row r="1137" spans="1:16" ht="25.2" customHeight="1" x14ac:dyDescent="0.4">
      <c r="A1137" s="655" t="s">
        <v>18</v>
      </c>
      <c r="B1137" s="656"/>
      <c r="C1137" s="650">
        <f>C1136+D1136+E1136+F1136+I1136+J1136</f>
        <v>52800.000000000007</v>
      </c>
      <c r="D1137" s="651"/>
      <c r="E1137" s="651"/>
      <c r="F1137" s="651"/>
      <c r="G1137" s="651"/>
      <c r="H1137" s="651"/>
      <c r="I1137" s="651"/>
      <c r="J1137" s="652"/>
      <c r="K1137" s="481"/>
      <c r="L1137" s="510"/>
    </row>
    <row r="1139" spans="1:16" ht="25.2" customHeight="1" x14ac:dyDescent="0.4">
      <c r="A1139" s="471" t="s">
        <v>0</v>
      </c>
      <c r="B1139" s="471" t="s">
        <v>1</v>
      </c>
      <c r="C1139" s="471" t="s">
        <v>5</v>
      </c>
      <c r="D1139" s="471" t="s">
        <v>287</v>
      </c>
      <c r="E1139" s="471" t="s">
        <v>74</v>
      </c>
      <c r="F1139" s="471" t="s">
        <v>3</v>
      </c>
      <c r="G1139" s="471" t="s">
        <v>4</v>
      </c>
      <c r="H1139" s="471" t="s">
        <v>5</v>
      </c>
      <c r="I1139" s="471" t="s">
        <v>6</v>
      </c>
      <c r="J1139" s="471" t="s">
        <v>7</v>
      </c>
      <c r="K1139" s="471" t="s">
        <v>60</v>
      </c>
      <c r="L1139" s="471" t="s">
        <v>8</v>
      </c>
      <c r="O1139" s="43">
        <v>1528.85</v>
      </c>
      <c r="P1139" s="43"/>
    </row>
    <row r="1140" spans="1:16" ht="25.2" customHeight="1" x14ac:dyDescent="0.4">
      <c r="A1140" s="516">
        <v>45575</v>
      </c>
      <c r="B1140" s="513" t="s">
        <v>390</v>
      </c>
      <c r="C1140" s="473">
        <f>5800*1.1</f>
        <v>6380.0000000000009</v>
      </c>
      <c r="D1140" s="473"/>
      <c r="E1140" s="474"/>
      <c r="F1140" s="475"/>
      <c r="G1140" s="474"/>
      <c r="H1140" s="474"/>
      <c r="I1140" s="473"/>
      <c r="J1140" s="473">
        <v>0</v>
      </c>
      <c r="K1140" s="476" t="s">
        <v>61</v>
      </c>
      <c r="L1140" s="477" t="s">
        <v>651</v>
      </c>
      <c r="O1140" s="43">
        <v>1487.54</v>
      </c>
    </row>
    <row r="1141" spans="1:16" ht="25.2" customHeight="1" x14ac:dyDescent="0.4">
      <c r="A1141" s="653" t="s">
        <v>17</v>
      </c>
      <c r="B1141" s="654"/>
      <c r="C1141" s="474">
        <f t="shared" ref="C1141:J1141" si="19">SUM(C1140:C1140)</f>
        <v>6380.0000000000009</v>
      </c>
      <c r="D1141" s="474">
        <f t="shared" si="19"/>
        <v>0</v>
      </c>
      <c r="E1141" s="474">
        <f t="shared" si="19"/>
        <v>0</v>
      </c>
      <c r="F1141" s="474">
        <f t="shared" si="19"/>
        <v>0</v>
      </c>
      <c r="G1141" s="474">
        <f t="shared" si="19"/>
        <v>0</v>
      </c>
      <c r="H1141" s="474">
        <f t="shared" si="19"/>
        <v>0</v>
      </c>
      <c r="I1141" s="474">
        <f t="shared" si="19"/>
        <v>0</v>
      </c>
      <c r="J1141" s="474">
        <f t="shared" si="19"/>
        <v>0</v>
      </c>
      <c r="K1141" s="476" t="s">
        <v>63</v>
      </c>
      <c r="L1141" s="514"/>
    </row>
    <row r="1142" spans="1:16" ht="25.2" customHeight="1" x14ac:dyDescent="0.4">
      <c r="A1142" s="655" t="s">
        <v>18</v>
      </c>
      <c r="B1142" s="656"/>
      <c r="C1142" s="650">
        <f>C1141+D1141+E1141+F1141+I1141+J1141</f>
        <v>6380.0000000000009</v>
      </c>
      <c r="D1142" s="651"/>
      <c r="E1142" s="651"/>
      <c r="F1142" s="651"/>
      <c r="G1142" s="651"/>
      <c r="H1142" s="651"/>
      <c r="I1142" s="651"/>
      <c r="J1142" s="652"/>
      <c r="K1142" s="481"/>
      <c r="L1142" s="515"/>
    </row>
    <row r="1144" spans="1:16" ht="25.2" customHeight="1" x14ac:dyDescent="0.4">
      <c r="A1144" s="471" t="s">
        <v>0</v>
      </c>
      <c r="B1144" s="471" t="s">
        <v>1</v>
      </c>
      <c r="C1144" s="471" t="s">
        <v>652</v>
      </c>
      <c r="D1144" s="471" t="s">
        <v>287</v>
      </c>
      <c r="E1144" s="471" t="s">
        <v>74</v>
      </c>
      <c r="F1144" s="471" t="s">
        <v>3</v>
      </c>
      <c r="G1144" s="471" t="s">
        <v>4</v>
      </c>
      <c r="H1144" s="471" t="s">
        <v>5</v>
      </c>
      <c r="I1144" s="471" t="s">
        <v>6</v>
      </c>
      <c r="J1144" s="471" t="s">
        <v>7</v>
      </c>
      <c r="K1144" s="471" t="s">
        <v>60</v>
      </c>
      <c r="L1144" s="471" t="s">
        <v>8</v>
      </c>
      <c r="O1144" s="43">
        <v>1528.85</v>
      </c>
      <c r="P1144" s="43"/>
    </row>
    <row r="1145" spans="1:16" ht="25.2" customHeight="1" x14ac:dyDescent="0.4">
      <c r="A1145" s="520">
        <v>45583</v>
      </c>
      <c r="B1145" s="517" t="s">
        <v>390</v>
      </c>
      <c r="C1145" s="473">
        <v>8360</v>
      </c>
      <c r="D1145" s="473"/>
      <c r="E1145" s="474"/>
      <c r="F1145" s="475"/>
      <c r="G1145" s="474"/>
      <c r="H1145" s="474"/>
      <c r="I1145" s="473"/>
      <c r="J1145" s="473">
        <v>0</v>
      </c>
      <c r="K1145" s="476" t="s">
        <v>61</v>
      </c>
      <c r="L1145" s="477" t="s">
        <v>653</v>
      </c>
      <c r="O1145" s="43">
        <v>1487.54</v>
      </c>
    </row>
    <row r="1146" spans="1:16" ht="25.2" customHeight="1" x14ac:dyDescent="0.4">
      <c r="A1146" s="653" t="s">
        <v>17</v>
      </c>
      <c r="B1146" s="654"/>
      <c r="C1146" s="474">
        <f>SUM(C1145:C1145)</f>
        <v>8360</v>
      </c>
      <c r="D1146" s="474">
        <f t="shared" ref="D1146:J1146" si="20">SUM(D1145:D1145)</f>
        <v>0</v>
      </c>
      <c r="E1146" s="474">
        <f t="shared" si="20"/>
        <v>0</v>
      </c>
      <c r="F1146" s="474">
        <f t="shared" si="20"/>
        <v>0</v>
      </c>
      <c r="G1146" s="474">
        <f t="shared" si="20"/>
        <v>0</v>
      </c>
      <c r="H1146" s="474">
        <f t="shared" si="20"/>
        <v>0</v>
      </c>
      <c r="I1146" s="474">
        <f t="shared" si="20"/>
        <v>0</v>
      </c>
      <c r="J1146" s="474">
        <f t="shared" si="20"/>
        <v>0</v>
      </c>
      <c r="K1146" s="476" t="s">
        <v>63</v>
      </c>
      <c r="L1146" s="518"/>
    </row>
    <row r="1147" spans="1:16" ht="25.2" customHeight="1" x14ac:dyDescent="0.4">
      <c r="A1147" s="655" t="s">
        <v>18</v>
      </c>
      <c r="B1147" s="656"/>
      <c r="C1147" s="650">
        <f>C1146+D1146+E1146+F1146+I1146+J1146</f>
        <v>8360</v>
      </c>
      <c r="D1147" s="651"/>
      <c r="E1147" s="651"/>
      <c r="F1147" s="651"/>
      <c r="G1147" s="651"/>
      <c r="H1147" s="651"/>
      <c r="I1147" s="651"/>
      <c r="J1147" s="652"/>
      <c r="K1147" s="481"/>
      <c r="L1147" s="519"/>
    </row>
    <row r="1149" spans="1:16" ht="25.2" customHeight="1" x14ac:dyDescent="0.4">
      <c r="A1149" s="471" t="s">
        <v>0</v>
      </c>
      <c r="B1149" s="471" t="s">
        <v>1</v>
      </c>
      <c r="C1149" s="471" t="s">
        <v>115</v>
      </c>
      <c r="D1149" s="471" t="s">
        <v>287</v>
      </c>
      <c r="E1149" s="471" t="s">
        <v>74</v>
      </c>
      <c r="F1149" s="471" t="s">
        <v>3</v>
      </c>
      <c r="G1149" s="471" t="s">
        <v>4</v>
      </c>
      <c r="H1149" s="471" t="s">
        <v>5</v>
      </c>
      <c r="I1149" s="471" t="s">
        <v>6</v>
      </c>
      <c r="J1149" s="471" t="s">
        <v>7</v>
      </c>
      <c r="K1149" s="471" t="s">
        <v>60</v>
      </c>
      <c r="L1149" s="471" t="s">
        <v>8</v>
      </c>
      <c r="O1149" s="43">
        <v>1528.85</v>
      </c>
      <c r="P1149" s="43"/>
    </row>
    <row r="1150" spans="1:16" ht="25.2" customHeight="1" x14ac:dyDescent="0.4">
      <c r="A1150" s="524">
        <v>45585</v>
      </c>
      <c r="B1150" s="521" t="s">
        <v>390</v>
      </c>
      <c r="C1150" s="473">
        <v>0</v>
      </c>
      <c r="D1150" s="473"/>
      <c r="E1150" s="474"/>
      <c r="F1150" s="475"/>
      <c r="G1150" s="474"/>
      <c r="H1150" s="474"/>
      <c r="I1150" s="473"/>
      <c r="J1150" s="473">
        <v>26000</v>
      </c>
      <c r="K1150" s="476" t="s">
        <v>61</v>
      </c>
      <c r="L1150" s="477" t="s">
        <v>654</v>
      </c>
      <c r="O1150" s="43">
        <v>1487.54</v>
      </c>
    </row>
    <row r="1151" spans="1:16" ht="25.2" customHeight="1" x14ac:dyDescent="0.4">
      <c r="A1151" s="653" t="s">
        <v>17</v>
      </c>
      <c r="B1151" s="654"/>
      <c r="C1151" s="474">
        <f>SUM(C1150:C1150)</f>
        <v>0</v>
      </c>
      <c r="D1151" s="474">
        <f t="shared" ref="D1151:J1151" si="21">SUM(D1150:D1150)</f>
        <v>0</v>
      </c>
      <c r="E1151" s="474">
        <f t="shared" si="21"/>
        <v>0</v>
      </c>
      <c r="F1151" s="474">
        <f t="shared" si="21"/>
        <v>0</v>
      </c>
      <c r="G1151" s="474">
        <f t="shared" si="21"/>
        <v>0</v>
      </c>
      <c r="H1151" s="474">
        <f t="shared" si="21"/>
        <v>0</v>
      </c>
      <c r="I1151" s="474">
        <f t="shared" si="21"/>
        <v>0</v>
      </c>
      <c r="J1151" s="474">
        <f t="shared" si="21"/>
        <v>26000</v>
      </c>
      <c r="K1151" s="476" t="s">
        <v>63</v>
      </c>
      <c r="L1151" s="522"/>
    </row>
    <row r="1152" spans="1:16" ht="25.2" customHeight="1" x14ac:dyDescent="0.4">
      <c r="A1152" s="655" t="s">
        <v>18</v>
      </c>
      <c r="B1152" s="656"/>
      <c r="C1152" s="650">
        <f>C1151+D1151+E1151+F1151+I1151+J1151</f>
        <v>26000</v>
      </c>
      <c r="D1152" s="651"/>
      <c r="E1152" s="651"/>
      <c r="F1152" s="651"/>
      <c r="G1152" s="651"/>
      <c r="H1152" s="651"/>
      <c r="I1152" s="651"/>
      <c r="J1152" s="652"/>
      <c r="K1152" s="481"/>
      <c r="L1152" s="523"/>
    </row>
    <row r="1154" spans="1:17" ht="25.2" customHeight="1" x14ac:dyDescent="0.4">
      <c r="A1154" s="471" t="s">
        <v>0</v>
      </c>
      <c r="B1154" s="471" t="s">
        <v>1</v>
      </c>
      <c r="C1154" s="471" t="s">
        <v>115</v>
      </c>
      <c r="D1154" s="471" t="s">
        <v>287</v>
      </c>
      <c r="E1154" s="471" t="s">
        <v>74</v>
      </c>
      <c r="F1154" s="471" t="s">
        <v>3</v>
      </c>
      <c r="G1154" s="471" t="s">
        <v>4</v>
      </c>
      <c r="H1154" s="471" t="s">
        <v>5</v>
      </c>
      <c r="I1154" s="471" t="s">
        <v>6</v>
      </c>
      <c r="J1154" s="471" t="s">
        <v>7</v>
      </c>
      <c r="K1154" s="471" t="s">
        <v>60</v>
      </c>
      <c r="L1154" s="471" t="s">
        <v>8</v>
      </c>
      <c r="O1154" s="43">
        <v>1528.85</v>
      </c>
      <c r="P1154" s="43"/>
    </row>
    <row r="1155" spans="1:17" ht="25.2" customHeight="1" x14ac:dyDescent="0.4">
      <c r="A1155" s="528">
        <v>45587</v>
      </c>
      <c r="B1155" s="525" t="s">
        <v>390</v>
      </c>
      <c r="C1155" s="473"/>
      <c r="D1155" s="473"/>
      <c r="E1155" s="474"/>
      <c r="F1155" s="475"/>
      <c r="G1155" s="474"/>
      <c r="H1155" s="474"/>
      <c r="I1155" s="473"/>
      <c r="J1155" s="473">
        <v>9100</v>
      </c>
      <c r="K1155" s="476" t="s">
        <v>61</v>
      </c>
      <c r="L1155" s="477" t="s">
        <v>655</v>
      </c>
      <c r="O1155" s="43">
        <v>1487.54</v>
      </c>
    </row>
    <row r="1156" spans="1:17" ht="25.2" customHeight="1" x14ac:dyDescent="0.4">
      <c r="A1156" s="653" t="s">
        <v>17</v>
      </c>
      <c r="B1156" s="654"/>
      <c r="C1156" s="474">
        <f>SUM(C1155:C1155)</f>
        <v>0</v>
      </c>
      <c r="D1156" s="474">
        <f t="shared" ref="D1156:J1156" si="22">SUM(D1155:D1155)</f>
        <v>0</v>
      </c>
      <c r="E1156" s="474">
        <f t="shared" si="22"/>
        <v>0</v>
      </c>
      <c r="F1156" s="474">
        <f t="shared" si="22"/>
        <v>0</v>
      </c>
      <c r="G1156" s="474">
        <f t="shared" si="22"/>
        <v>0</v>
      </c>
      <c r="H1156" s="474">
        <f t="shared" si="22"/>
        <v>0</v>
      </c>
      <c r="I1156" s="474">
        <f t="shared" si="22"/>
        <v>0</v>
      </c>
      <c r="J1156" s="474">
        <f t="shared" si="22"/>
        <v>9100</v>
      </c>
      <c r="K1156" s="476" t="s">
        <v>63</v>
      </c>
      <c r="L1156" s="526"/>
    </row>
    <row r="1157" spans="1:17" ht="25.2" customHeight="1" x14ac:dyDescent="0.4">
      <c r="A1157" s="655" t="s">
        <v>18</v>
      </c>
      <c r="B1157" s="656"/>
      <c r="C1157" s="650">
        <f>C1156+D1156+E1156+F1156+I1156+J1156</f>
        <v>9100</v>
      </c>
      <c r="D1157" s="651"/>
      <c r="E1157" s="651"/>
      <c r="F1157" s="651"/>
      <c r="G1157" s="651"/>
      <c r="H1157" s="651"/>
      <c r="I1157" s="651"/>
      <c r="J1157" s="652"/>
      <c r="K1157" s="481"/>
      <c r="L1157" s="527"/>
    </row>
    <row r="1159" spans="1:17" ht="25.2" customHeight="1" x14ac:dyDescent="0.4">
      <c r="A1159" s="471" t="s">
        <v>0</v>
      </c>
      <c r="B1159" s="471" t="s">
        <v>1</v>
      </c>
      <c r="C1159" s="471" t="s">
        <v>557</v>
      </c>
      <c r="D1159" s="471" t="s">
        <v>287</v>
      </c>
      <c r="E1159" s="471" t="s">
        <v>74</v>
      </c>
      <c r="F1159" s="471" t="s">
        <v>3</v>
      </c>
      <c r="G1159" s="471" t="s">
        <v>4</v>
      </c>
      <c r="H1159" s="471" t="s">
        <v>5</v>
      </c>
      <c r="I1159" s="471" t="s">
        <v>6</v>
      </c>
      <c r="J1159" s="471" t="s">
        <v>7</v>
      </c>
      <c r="K1159" s="471" t="s">
        <v>60</v>
      </c>
      <c r="L1159" s="471" t="s">
        <v>8</v>
      </c>
      <c r="O1159" s="43">
        <v>1458.22</v>
      </c>
      <c r="P1159" s="43"/>
    </row>
    <row r="1160" spans="1:17" ht="25.2" customHeight="1" x14ac:dyDescent="0.4">
      <c r="A1160" s="642">
        <v>45559</v>
      </c>
      <c r="B1160" s="529" t="s">
        <v>390</v>
      </c>
      <c r="C1160" s="473"/>
      <c r="D1160" s="473"/>
      <c r="E1160" s="474">
        <f>1200+1500+10000+10000</f>
        <v>22700</v>
      </c>
      <c r="F1160" s="475"/>
      <c r="G1160" s="474"/>
      <c r="H1160" s="474"/>
      <c r="I1160" s="473"/>
      <c r="J1160" s="473"/>
      <c r="K1160" s="476" t="s">
        <v>84</v>
      </c>
      <c r="L1160" s="477" t="s">
        <v>662</v>
      </c>
      <c r="O1160" s="43"/>
      <c r="Q1160" s="43"/>
    </row>
    <row r="1161" spans="1:17" ht="25.2" customHeight="1" x14ac:dyDescent="0.4">
      <c r="A1161" s="643"/>
      <c r="B1161" s="529" t="s">
        <v>390</v>
      </c>
      <c r="C1161" s="473"/>
      <c r="D1161" s="473"/>
      <c r="E1161" s="474"/>
      <c r="F1161" s="475"/>
      <c r="G1161" s="474"/>
      <c r="H1161" s="474"/>
      <c r="I1161" s="473"/>
      <c r="J1161" s="473">
        <v>37000</v>
      </c>
      <c r="K1161" s="476" t="s">
        <v>204</v>
      </c>
      <c r="L1161" s="477" t="s">
        <v>660</v>
      </c>
      <c r="O1161" s="43"/>
    </row>
    <row r="1162" spans="1:17" ht="25.2" customHeight="1" x14ac:dyDescent="0.4">
      <c r="A1162" s="643"/>
      <c r="B1162" s="529"/>
      <c r="C1162" s="473"/>
      <c r="D1162" s="473"/>
      <c r="E1162" s="474"/>
      <c r="F1162" s="475"/>
      <c r="G1162" s="474"/>
      <c r="H1162" s="474"/>
      <c r="I1162" s="473"/>
      <c r="J1162" s="473">
        <v>9100</v>
      </c>
      <c r="K1162" s="476" t="s">
        <v>657</v>
      </c>
      <c r="L1162" s="477" t="s">
        <v>661</v>
      </c>
      <c r="O1162" s="43"/>
    </row>
    <row r="1163" spans="1:17" ht="24.6" customHeight="1" x14ac:dyDescent="0.4">
      <c r="A1163" s="644"/>
      <c r="B1163" s="529" t="s">
        <v>390</v>
      </c>
      <c r="C1163" s="473"/>
      <c r="D1163" s="473"/>
      <c r="E1163" s="474"/>
      <c r="F1163" s="475">
        <f>O1163*N1163/9</f>
        <v>29600.083731111114</v>
      </c>
      <c r="G1163" s="474"/>
      <c r="H1163" s="474"/>
      <c r="I1163" s="473"/>
      <c r="J1163" s="473"/>
      <c r="K1163" s="476" t="s">
        <v>63</v>
      </c>
      <c r="L1163" s="530" t="s">
        <v>658</v>
      </c>
      <c r="N1163" s="1">
        <v>182.68899999999999</v>
      </c>
      <c r="O1163" s="366">
        <f>O1159</f>
        <v>1458.22</v>
      </c>
    </row>
    <row r="1164" spans="1:17" ht="25.2" customHeight="1" x14ac:dyDescent="0.4">
      <c r="A1164" s="645" t="s">
        <v>17</v>
      </c>
      <c r="B1164" s="645"/>
      <c r="C1164" s="474">
        <f>SUM(C1160:C1163)</f>
        <v>0</v>
      </c>
      <c r="D1164" s="474">
        <f>SUM(D1160:D1163)</f>
        <v>0</v>
      </c>
      <c r="E1164" s="474">
        <f>SUM(E1160:E1163)</f>
        <v>22700</v>
      </c>
      <c r="F1164" s="474">
        <f>ROUNDDOWN(SUM(F1160:F1163),0)</f>
        <v>29600</v>
      </c>
      <c r="G1164" s="474" t="e">
        <f>SUM(#REF!)</f>
        <v>#REF!</v>
      </c>
      <c r="H1164" s="474" t="e">
        <f>SUM(#REF!)</f>
        <v>#REF!</v>
      </c>
      <c r="I1164" s="474">
        <f>SUM(I1160:I1163)</f>
        <v>0</v>
      </c>
      <c r="J1164" s="474">
        <f>SUM(J1160:J1163)</f>
        <v>46100</v>
      </c>
      <c r="K1164" s="476" t="s">
        <v>63</v>
      </c>
      <c r="L1164" s="530" t="s">
        <v>659</v>
      </c>
    </row>
    <row r="1165" spans="1:17" ht="25.2" customHeight="1" x14ac:dyDescent="0.4">
      <c r="A1165" s="646" t="s">
        <v>18</v>
      </c>
      <c r="B1165" s="646"/>
      <c r="C1165" s="647">
        <f>C1164+D1164+E1164+F1164+I1164+J1164</f>
        <v>98400</v>
      </c>
      <c r="D1165" s="647"/>
      <c r="E1165" s="647"/>
      <c r="F1165" s="647"/>
      <c r="G1165" s="647"/>
      <c r="H1165" s="647"/>
      <c r="I1165" s="647"/>
      <c r="J1165" s="647"/>
      <c r="K1165" s="481"/>
      <c r="L1165" s="531"/>
    </row>
    <row r="1169" spans="1:16" ht="25.2" customHeight="1" x14ac:dyDescent="0.4">
      <c r="A1169" s="471" t="s">
        <v>0</v>
      </c>
      <c r="B1169" s="471" t="s">
        <v>1</v>
      </c>
      <c r="C1169" s="471" t="s">
        <v>115</v>
      </c>
      <c r="D1169" s="471" t="s">
        <v>287</v>
      </c>
      <c r="E1169" s="471" t="s">
        <v>74</v>
      </c>
      <c r="F1169" s="471" t="s">
        <v>3</v>
      </c>
      <c r="G1169" s="471" t="s">
        <v>4</v>
      </c>
      <c r="H1169" s="471" t="s">
        <v>5</v>
      </c>
      <c r="I1169" s="471" t="s">
        <v>6</v>
      </c>
      <c r="J1169" s="471" t="s">
        <v>7</v>
      </c>
      <c r="K1169" s="471" t="s">
        <v>60</v>
      </c>
      <c r="L1169" s="471" t="s">
        <v>8</v>
      </c>
      <c r="O1169" s="43">
        <v>1528.85</v>
      </c>
      <c r="P1169" s="43"/>
    </row>
    <row r="1170" spans="1:16" ht="25.2" customHeight="1" x14ac:dyDescent="0.4">
      <c r="A1170" s="532">
        <v>45592</v>
      </c>
      <c r="B1170" s="529" t="s">
        <v>390</v>
      </c>
      <c r="C1170" s="473"/>
      <c r="D1170" s="473"/>
      <c r="E1170" s="474"/>
      <c r="F1170" s="475"/>
      <c r="G1170" s="474"/>
      <c r="H1170" s="474"/>
      <c r="I1170" s="473"/>
      <c r="J1170" s="473">
        <v>33000</v>
      </c>
      <c r="K1170" s="476" t="s">
        <v>61</v>
      </c>
      <c r="L1170" s="477" t="s">
        <v>656</v>
      </c>
      <c r="O1170" s="43">
        <v>1487.54</v>
      </c>
    </row>
    <row r="1171" spans="1:16" ht="25.2" customHeight="1" x14ac:dyDescent="0.4">
      <c r="A1171" s="653" t="s">
        <v>17</v>
      </c>
      <c r="B1171" s="654"/>
      <c r="C1171" s="474">
        <f>SUM(C1170:C1170)</f>
        <v>0</v>
      </c>
      <c r="D1171" s="474">
        <f t="shared" ref="D1171:J1171" si="23">SUM(D1170:D1170)</f>
        <v>0</v>
      </c>
      <c r="E1171" s="474">
        <f t="shared" si="23"/>
        <v>0</v>
      </c>
      <c r="F1171" s="474">
        <f t="shared" si="23"/>
        <v>0</v>
      </c>
      <c r="G1171" s="474">
        <f t="shared" si="23"/>
        <v>0</v>
      </c>
      <c r="H1171" s="474">
        <f t="shared" si="23"/>
        <v>0</v>
      </c>
      <c r="I1171" s="474">
        <f t="shared" si="23"/>
        <v>0</v>
      </c>
      <c r="J1171" s="474">
        <f t="shared" si="23"/>
        <v>33000</v>
      </c>
      <c r="K1171" s="476" t="s">
        <v>63</v>
      </c>
      <c r="L1171" s="530"/>
    </row>
    <row r="1172" spans="1:16" ht="25.2" customHeight="1" x14ac:dyDescent="0.4">
      <c r="A1172" s="655" t="s">
        <v>18</v>
      </c>
      <c r="B1172" s="656"/>
      <c r="C1172" s="650">
        <f>C1171+D1171+E1171+F1171+I1171+J1171</f>
        <v>33000</v>
      </c>
      <c r="D1172" s="651"/>
      <c r="E1172" s="651"/>
      <c r="F1172" s="651"/>
      <c r="G1172" s="651"/>
      <c r="H1172" s="651"/>
      <c r="I1172" s="651"/>
      <c r="J1172" s="652"/>
      <c r="K1172" s="481"/>
      <c r="L1172" s="531"/>
    </row>
    <row r="1175" spans="1:16" ht="25.2" customHeight="1" x14ac:dyDescent="0.4">
      <c r="A1175" s="471" t="s">
        <v>0</v>
      </c>
      <c r="B1175" s="471" t="s">
        <v>1</v>
      </c>
      <c r="C1175" s="471" t="s">
        <v>663</v>
      </c>
      <c r="D1175" s="471" t="s">
        <v>287</v>
      </c>
      <c r="E1175" s="471" t="s">
        <v>74</v>
      </c>
      <c r="F1175" s="471" t="s">
        <v>3</v>
      </c>
      <c r="G1175" s="471" t="s">
        <v>4</v>
      </c>
      <c r="H1175" s="471" t="s">
        <v>5</v>
      </c>
      <c r="I1175" s="471" t="s">
        <v>6</v>
      </c>
      <c r="J1175" s="471" t="s">
        <v>7</v>
      </c>
      <c r="K1175" s="471" t="s">
        <v>60</v>
      </c>
      <c r="L1175" s="471" t="s">
        <v>8</v>
      </c>
      <c r="O1175" s="43">
        <v>1458.22</v>
      </c>
      <c r="P1175" s="43"/>
    </row>
    <row r="1176" spans="1:16" ht="25.2" customHeight="1" x14ac:dyDescent="0.4">
      <c r="A1176" s="642">
        <v>45593</v>
      </c>
      <c r="B1176" s="533" t="s">
        <v>390</v>
      </c>
      <c r="C1176" s="473"/>
      <c r="D1176" s="473"/>
      <c r="E1176" s="474">
        <f>750+750+10000+10000</f>
        <v>21500</v>
      </c>
      <c r="F1176" s="475"/>
      <c r="G1176" s="474"/>
      <c r="H1176" s="474"/>
      <c r="I1176" s="473"/>
      <c r="J1176" s="473"/>
      <c r="K1176" s="476" t="s">
        <v>61</v>
      </c>
      <c r="L1176" s="477" t="s">
        <v>631</v>
      </c>
      <c r="O1176" s="43"/>
    </row>
    <row r="1177" spans="1:16" ht="25.2" customHeight="1" x14ac:dyDescent="0.4">
      <c r="A1177" s="643"/>
      <c r="B1177" s="533" t="s">
        <v>390</v>
      </c>
      <c r="C1177" s="473"/>
      <c r="D1177" s="473"/>
      <c r="E1177" s="474"/>
      <c r="F1177" s="475"/>
      <c r="G1177" s="474"/>
      <c r="H1177" s="474"/>
      <c r="I1177" s="473"/>
      <c r="J1177" s="473">
        <v>27000</v>
      </c>
      <c r="K1177" s="476" t="s">
        <v>63</v>
      </c>
      <c r="L1177" s="477" t="s">
        <v>641</v>
      </c>
      <c r="O1177" s="43"/>
    </row>
    <row r="1178" spans="1:16" ht="25.2" customHeight="1" x14ac:dyDescent="0.4">
      <c r="A1178" s="643"/>
      <c r="B1178" s="533" t="s">
        <v>390</v>
      </c>
      <c r="C1178" s="473"/>
      <c r="D1178" s="473"/>
      <c r="E1178" s="474"/>
      <c r="F1178" s="475"/>
      <c r="G1178" s="474"/>
      <c r="H1178" s="474"/>
      <c r="I1178" s="473">
        <v>10000</v>
      </c>
      <c r="J1178" s="473"/>
      <c r="K1178" s="476"/>
      <c r="L1178" s="477" t="s">
        <v>668</v>
      </c>
      <c r="O1178" s="43"/>
    </row>
    <row r="1179" spans="1:16" ht="24.6" customHeight="1" x14ac:dyDescent="0.4">
      <c r="A1179" s="644"/>
      <c r="B1179" s="533" t="s">
        <v>390</v>
      </c>
      <c r="C1179" s="473"/>
      <c r="D1179" s="473"/>
      <c r="E1179" s="474"/>
      <c r="F1179" s="475">
        <f>O1179*N1179/9</f>
        <v>29600.083731111114</v>
      </c>
      <c r="G1179" s="474"/>
      <c r="H1179" s="474"/>
      <c r="I1179" s="473"/>
      <c r="J1179" s="473"/>
      <c r="K1179" s="476" t="s">
        <v>63</v>
      </c>
      <c r="L1179" s="534" t="s">
        <v>666</v>
      </c>
      <c r="N1179" s="1">
        <v>182.68899999999999</v>
      </c>
      <c r="O1179" s="366">
        <f>O1175</f>
        <v>1458.22</v>
      </c>
    </row>
    <row r="1180" spans="1:16" ht="25.2" customHeight="1" x14ac:dyDescent="0.4">
      <c r="A1180" s="642">
        <v>45594</v>
      </c>
      <c r="B1180" s="533" t="s">
        <v>390</v>
      </c>
      <c r="C1180" s="473"/>
      <c r="D1180" s="473"/>
      <c r="E1180" s="474">
        <f>750+1200+10000+10000</f>
        <v>21950</v>
      </c>
      <c r="F1180" s="475"/>
      <c r="G1180" s="474"/>
      <c r="H1180" s="474"/>
      <c r="I1180" s="473"/>
      <c r="J1180" s="473"/>
      <c r="K1180" s="476" t="s">
        <v>120</v>
      </c>
      <c r="L1180" s="477" t="s">
        <v>631</v>
      </c>
      <c r="O1180" s="43"/>
    </row>
    <row r="1181" spans="1:16" ht="25.2" customHeight="1" x14ac:dyDescent="0.4">
      <c r="A1181" s="643"/>
      <c r="B1181" s="533" t="s">
        <v>390</v>
      </c>
      <c r="C1181" s="473"/>
      <c r="D1181" s="473"/>
      <c r="E1181" s="474"/>
      <c r="F1181" s="475"/>
      <c r="G1181" s="474"/>
      <c r="H1181" s="474"/>
      <c r="I1181" s="473"/>
      <c r="J1181" s="473">
        <v>27000</v>
      </c>
      <c r="K1181" s="476"/>
      <c r="L1181" s="477" t="s">
        <v>641</v>
      </c>
      <c r="O1181" s="43"/>
    </row>
    <row r="1182" spans="1:16" ht="25.2" customHeight="1" x14ac:dyDescent="0.4">
      <c r="A1182" s="643"/>
      <c r="B1182" s="533" t="s">
        <v>390</v>
      </c>
      <c r="C1182" s="473"/>
      <c r="D1182" s="473"/>
      <c r="E1182" s="474"/>
      <c r="F1182" s="475"/>
      <c r="G1182" s="474"/>
      <c r="H1182" s="474"/>
      <c r="I1182" s="473">
        <v>10000</v>
      </c>
      <c r="J1182" s="473"/>
      <c r="K1182" s="476"/>
      <c r="L1182" s="477" t="s">
        <v>668</v>
      </c>
      <c r="O1182" s="43"/>
    </row>
    <row r="1183" spans="1:16" ht="24.6" customHeight="1" x14ac:dyDescent="0.4">
      <c r="A1183" s="644"/>
      <c r="B1183" s="533" t="s">
        <v>390</v>
      </c>
      <c r="C1183" s="473"/>
      <c r="D1183" s="473"/>
      <c r="E1183" s="474"/>
      <c r="F1183" s="475">
        <f>O1183*N1183/9</f>
        <v>29600.083731111114</v>
      </c>
      <c r="G1183" s="474"/>
      <c r="H1183" s="474"/>
      <c r="I1183" s="473"/>
      <c r="J1183" s="473"/>
      <c r="K1183" s="476" t="s">
        <v>63</v>
      </c>
      <c r="L1183" s="534" t="s">
        <v>666</v>
      </c>
      <c r="N1183" s="1">
        <v>182.68899999999999</v>
      </c>
      <c r="O1183" s="366">
        <f>O1179</f>
        <v>1458.22</v>
      </c>
    </row>
    <row r="1184" spans="1:16" ht="25.2" customHeight="1" x14ac:dyDescent="0.4">
      <c r="A1184" s="642">
        <v>45595</v>
      </c>
      <c r="B1184" s="533" t="s">
        <v>390</v>
      </c>
      <c r="C1184" s="473"/>
      <c r="D1184" s="473"/>
      <c r="E1184" s="474">
        <f>750+750+10000+10000</f>
        <v>21500</v>
      </c>
      <c r="F1184" s="475"/>
      <c r="G1184" s="474"/>
      <c r="H1184" s="474"/>
      <c r="I1184" s="473"/>
      <c r="J1184" s="473"/>
      <c r="K1184" s="476" t="s">
        <v>664</v>
      </c>
      <c r="L1184" s="477" t="s">
        <v>631</v>
      </c>
      <c r="O1184" s="43"/>
    </row>
    <row r="1185" spans="1:16" ht="25.2" customHeight="1" x14ac:dyDescent="0.4">
      <c r="A1185" s="643"/>
      <c r="B1185" s="533" t="s">
        <v>390</v>
      </c>
      <c r="C1185" s="473"/>
      <c r="D1185" s="473"/>
      <c r="E1185" s="474"/>
      <c r="F1185" s="475"/>
      <c r="G1185" s="474"/>
      <c r="H1185" s="474"/>
      <c r="I1185" s="473"/>
      <c r="J1185" s="473">
        <v>27000</v>
      </c>
      <c r="K1185" s="476"/>
      <c r="L1185" s="477" t="s">
        <v>641</v>
      </c>
      <c r="O1185" s="43"/>
    </row>
    <row r="1186" spans="1:16" ht="25.2" customHeight="1" x14ac:dyDescent="0.4">
      <c r="A1186" s="643"/>
      <c r="B1186" s="533" t="s">
        <v>390</v>
      </c>
      <c r="C1186" s="473"/>
      <c r="D1186" s="473"/>
      <c r="E1186" s="474"/>
      <c r="F1186" s="475"/>
      <c r="G1186" s="474"/>
      <c r="H1186" s="474"/>
      <c r="I1186" s="473">
        <v>10000</v>
      </c>
      <c r="J1186" s="473"/>
      <c r="K1186" s="476"/>
      <c r="L1186" s="477" t="s">
        <v>668</v>
      </c>
      <c r="O1186" s="43"/>
    </row>
    <row r="1187" spans="1:16" ht="24.6" customHeight="1" x14ac:dyDescent="0.4">
      <c r="A1187" s="644"/>
      <c r="B1187" s="533" t="s">
        <v>390</v>
      </c>
      <c r="C1187" s="473"/>
      <c r="D1187" s="473"/>
      <c r="E1187" s="474"/>
      <c r="F1187" s="475">
        <f>O1187*N1187/9</f>
        <v>29600.083731111114</v>
      </c>
      <c r="G1187" s="474"/>
      <c r="H1187" s="474"/>
      <c r="I1187" s="473"/>
      <c r="J1187" s="473"/>
      <c r="K1187" s="476" t="s">
        <v>63</v>
      </c>
      <c r="L1187" s="534" t="s">
        <v>666</v>
      </c>
      <c r="N1187" s="1">
        <v>182.68899999999999</v>
      </c>
      <c r="O1187" s="366">
        <f>O1183</f>
        <v>1458.22</v>
      </c>
    </row>
    <row r="1188" spans="1:16" ht="25.2" customHeight="1" x14ac:dyDescent="0.4">
      <c r="A1188" s="642">
        <v>45596</v>
      </c>
      <c r="B1188" s="533" t="s">
        <v>390</v>
      </c>
      <c r="C1188" s="473"/>
      <c r="D1188" s="473"/>
      <c r="E1188" s="474">
        <f>10000+1500</f>
        <v>11500</v>
      </c>
      <c r="F1188" s="475"/>
      <c r="G1188" s="474"/>
      <c r="H1188" s="474"/>
      <c r="I1188" s="473"/>
      <c r="J1188" s="473"/>
      <c r="K1188" s="476" t="s">
        <v>65</v>
      </c>
      <c r="L1188" s="477" t="s">
        <v>643</v>
      </c>
      <c r="O1188" s="43"/>
    </row>
    <row r="1189" spans="1:16" ht="25.2" customHeight="1" x14ac:dyDescent="0.4">
      <c r="A1189" s="643"/>
      <c r="B1189" s="533" t="s">
        <v>390</v>
      </c>
      <c r="C1189" s="473">
        <v>40000</v>
      </c>
      <c r="D1189" s="473"/>
      <c r="E1189" s="474"/>
      <c r="F1189" s="475"/>
      <c r="G1189" s="474"/>
      <c r="H1189" s="474"/>
      <c r="I1189" s="473"/>
      <c r="J1189" s="473"/>
      <c r="K1189" s="476" t="s">
        <v>66</v>
      </c>
      <c r="L1189" s="477" t="s">
        <v>669</v>
      </c>
      <c r="O1189" s="43"/>
    </row>
    <row r="1190" spans="1:16" ht="25.2" customHeight="1" x14ac:dyDescent="0.4">
      <c r="A1190" s="643"/>
      <c r="B1190" s="533" t="s">
        <v>390</v>
      </c>
      <c r="C1190" s="473"/>
      <c r="D1190" s="473"/>
      <c r="E1190" s="474"/>
      <c r="F1190" s="475"/>
      <c r="G1190" s="474"/>
      <c r="H1190" s="474"/>
      <c r="I1190" s="473"/>
      <c r="J1190" s="473">
        <v>27000</v>
      </c>
      <c r="K1190" s="476"/>
      <c r="L1190" s="477" t="s">
        <v>642</v>
      </c>
      <c r="O1190" s="43"/>
    </row>
    <row r="1191" spans="1:16" ht="25.2" customHeight="1" x14ac:dyDescent="0.4">
      <c r="A1191" s="643"/>
      <c r="B1191" s="533" t="s">
        <v>390</v>
      </c>
      <c r="C1191" s="473"/>
      <c r="D1191" s="473"/>
      <c r="E1191" s="474"/>
      <c r="F1191" s="475"/>
      <c r="G1191" s="474"/>
      <c r="H1191" s="474"/>
      <c r="I1191" s="473">
        <v>10000</v>
      </c>
      <c r="J1191" s="473"/>
      <c r="K1191" s="476"/>
      <c r="L1191" s="477" t="s">
        <v>668</v>
      </c>
      <c r="O1191" s="43"/>
    </row>
    <row r="1192" spans="1:16" ht="24.6" customHeight="1" x14ac:dyDescent="0.4">
      <c r="A1192" s="644"/>
      <c r="B1192" s="533" t="s">
        <v>390</v>
      </c>
      <c r="C1192" s="473"/>
      <c r="D1192" s="473"/>
      <c r="E1192" s="474"/>
      <c r="F1192" s="475">
        <f>O1192*N1192/9</f>
        <v>14800.041865555557</v>
      </c>
      <c r="G1192" s="474"/>
      <c r="H1192" s="474"/>
      <c r="I1192" s="473"/>
      <c r="J1192" s="473"/>
      <c r="K1192" s="476" t="s">
        <v>63</v>
      </c>
      <c r="L1192" s="534" t="s">
        <v>667</v>
      </c>
      <c r="N1192" s="1">
        <f>182.689/2</f>
        <v>91.344499999999996</v>
      </c>
      <c r="O1192" s="366">
        <f>O1175</f>
        <v>1458.22</v>
      </c>
    </row>
    <row r="1193" spans="1:16" ht="25.2" customHeight="1" x14ac:dyDescent="0.4">
      <c r="A1193" s="645" t="s">
        <v>17</v>
      </c>
      <c r="B1193" s="645"/>
      <c r="C1193" s="474">
        <f>SUM(C1176:C1192)</f>
        <v>40000</v>
      </c>
      <c r="D1193" s="474">
        <f>SUM(D1176:D1192)</f>
        <v>0</v>
      </c>
      <c r="E1193" s="474">
        <f>SUM(E1176:E1192)</f>
        <v>76450</v>
      </c>
      <c r="F1193" s="474">
        <f>ROUNDDOWN(SUM(F1176:F1192),0)</f>
        <v>103600</v>
      </c>
      <c r="G1193" s="474" t="e">
        <f>SUM(#REF!)</f>
        <v>#REF!</v>
      </c>
      <c r="H1193" s="474" t="e">
        <f>SUM(#REF!)</f>
        <v>#REF!</v>
      </c>
      <c r="I1193" s="474">
        <f>SUM(I1176:I1192)</f>
        <v>40000</v>
      </c>
      <c r="J1193" s="474">
        <f>SUM(J1176:J1192)</f>
        <v>108000</v>
      </c>
      <c r="K1193" s="476" t="s">
        <v>63</v>
      </c>
      <c r="L1193" s="534" t="s">
        <v>665</v>
      </c>
    </row>
    <row r="1194" spans="1:16" ht="25.2" customHeight="1" x14ac:dyDescent="0.4">
      <c r="A1194" s="646" t="s">
        <v>18</v>
      </c>
      <c r="B1194" s="646"/>
      <c r="C1194" s="647">
        <f>C1193+D1193+E1193+F1193+I1193+J1193</f>
        <v>368050</v>
      </c>
      <c r="D1194" s="647"/>
      <c r="E1194" s="647"/>
      <c r="F1194" s="647"/>
      <c r="G1194" s="647"/>
      <c r="H1194" s="647"/>
      <c r="I1194" s="647"/>
      <c r="J1194" s="647"/>
      <c r="K1194" s="481"/>
      <c r="L1194" s="535"/>
    </row>
    <row r="1197" spans="1:16" ht="25.2" customHeight="1" x14ac:dyDescent="0.4">
      <c r="A1197" s="471" t="s">
        <v>0</v>
      </c>
      <c r="B1197" s="471" t="s">
        <v>1</v>
      </c>
      <c r="C1197" s="471" t="s">
        <v>255</v>
      </c>
      <c r="D1197" s="471" t="s">
        <v>287</v>
      </c>
      <c r="E1197" s="471" t="s">
        <v>74</v>
      </c>
      <c r="F1197" s="471" t="s">
        <v>3</v>
      </c>
      <c r="G1197" s="471" t="s">
        <v>4</v>
      </c>
      <c r="H1197" s="471" t="s">
        <v>5</v>
      </c>
      <c r="I1197" s="471" t="s">
        <v>6</v>
      </c>
      <c r="J1197" s="471" t="s">
        <v>7</v>
      </c>
      <c r="K1197" s="471" t="s">
        <v>60</v>
      </c>
      <c r="L1197" s="471" t="s">
        <v>8</v>
      </c>
      <c r="O1197" s="43">
        <v>1421.44</v>
      </c>
      <c r="P1197" s="43"/>
    </row>
    <row r="1198" spans="1:16" ht="25.2" customHeight="1" x14ac:dyDescent="0.4">
      <c r="A1198" s="642">
        <v>45597</v>
      </c>
      <c r="B1198" s="538" t="s">
        <v>390</v>
      </c>
      <c r="C1198" s="473"/>
      <c r="D1198" s="473"/>
      <c r="E1198" s="474">
        <f>10000+750</f>
        <v>10750</v>
      </c>
      <c r="F1198" s="475"/>
      <c r="G1198" s="474"/>
      <c r="H1198" s="474"/>
      <c r="I1198" s="473"/>
      <c r="J1198" s="473"/>
      <c r="K1198" s="476" t="s">
        <v>61</v>
      </c>
      <c r="L1198" s="477" t="s">
        <v>631</v>
      </c>
      <c r="O1198" s="43"/>
    </row>
    <row r="1199" spans="1:16" ht="25.2" customHeight="1" x14ac:dyDescent="0.4">
      <c r="A1199" s="643"/>
      <c r="B1199" s="538" t="s">
        <v>390</v>
      </c>
      <c r="C1199" s="473"/>
      <c r="D1199" s="473"/>
      <c r="E1199" s="474"/>
      <c r="F1199" s="475"/>
      <c r="G1199" s="474"/>
      <c r="H1199" s="474"/>
      <c r="I1199" s="473"/>
      <c r="J1199" s="473">
        <v>27000</v>
      </c>
      <c r="K1199" s="476" t="s">
        <v>63</v>
      </c>
      <c r="L1199" s="477" t="s">
        <v>641</v>
      </c>
      <c r="O1199" s="43"/>
    </row>
    <row r="1200" spans="1:16" ht="25.2" customHeight="1" x14ac:dyDescent="0.4">
      <c r="A1200" s="643"/>
      <c r="B1200" s="538" t="s">
        <v>390</v>
      </c>
      <c r="C1200" s="473"/>
      <c r="D1200" s="473"/>
      <c r="E1200" s="474"/>
      <c r="F1200" s="475"/>
      <c r="G1200" s="474"/>
      <c r="H1200" s="474"/>
      <c r="I1200" s="473">
        <v>10000</v>
      </c>
      <c r="J1200" s="473"/>
      <c r="K1200" s="476"/>
      <c r="L1200" s="477" t="s">
        <v>668</v>
      </c>
      <c r="O1200" s="43"/>
    </row>
    <row r="1201" spans="1:15" ht="24.6" customHeight="1" x14ac:dyDescent="0.4">
      <c r="A1201" s="644"/>
      <c r="B1201" s="538" t="s">
        <v>390</v>
      </c>
      <c r="C1201" s="473"/>
      <c r="D1201" s="473"/>
      <c r="E1201" s="474"/>
      <c r="F1201" s="475">
        <f>O1201*N1201/9</f>
        <v>14500</v>
      </c>
      <c r="G1201" s="474"/>
      <c r="H1201" s="474"/>
      <c r="I1201" s="473"/>
      <c r="J1201" s="473"/>
      <c r="K1201" s="476" t="s">
        <v>63</v>
      </c>
      <c r="L1201" s="536" t="s">
        <v>670</v>
      </c>
      <c r="N1201" s="1">
        <v>91.808307068887885</v>
      </c>
      <c r="O1201" s="366">
        <f>O1197</f>
        <v>1421.44</v>
      </c>
    </row>
    <row r="1202" spans="1:15" ht="25.2" customHeight="1" x14ac:dyDescent="0.4">
      <c r="A1202" s="642">
        <v>45600</v>
      </c>
      <c r="B1202" s="538" t="s">
        <v>390</v>
      </c>
      <c r="C1202" s="473"/>
      <c r="D1202" s="473"/>
      <c r="E1202" s="474">
        <f>10000+10000+1800+750</f>
        <v>22550</v>
      </c>
      <c r="F1202" s="475"/>
      <c r="G1202" s="474"/>
      <c r="H1202" s="474"/>
      <c r="I1202" s="473"/>
      <c r="J1202" s="473"/>
      <c r="K1202" s="476" t="s">
        <v>91</v>
      </c>
      <c r="L1202" s="477" t="s">
        <v>631</v>
      </c>
      <c r="O1202" s="43"/>
    </row>
    <row r="1203" spans="1:15" ht="25.2" customHeight="1" x14ac:dyDescent="0.4">
      <c r="A1203" s="643"/>
      <c r="B1203" s="538" t="s">
        <v>390</v>
      </c>
      <c r="C1203" s="473"/>
      <c r="D1203" s="473"/>
      <c r="E1203" s="474"/>
      <c r="F1203" s="475"/>
      <c r="G1203" s="474"/>
      <c r="H1203" s="474"/>
      <c r="I1203" s="473"/>
      <c r="J1203" s="473">
        <v>27000</v>
      </c>
      <c r="K1203" s="476"/>
      <c r="L1203" s="477" t="s">
        <v>641</v>
      </c>
      <c r="O1203" s="43"/>
    </row>
    <row r="1204" spans="1:15" ht="25.2" customHeight="1" x14ac:dyDescent="0.4">
      <c r="A1204" s="643"/>
      <c r="B1204" s="538" t="s">
        <v>390</v>
      </c>
      <c r="C1204" s="473"/>
      <c r="D1204" s="473"/>
      <c r="E1204" s="474"/>
      <c r="F1204" s="475"/>
      <c r="G1204" s="474"/>
      <c r="H1204" s="474"/>
      <c r="I1204" s="473">
        <v>10000</v>
      </c>
      <c r="J1204" s="473"/>
      <c r="K1204" s="476"/>
      <c r="L1204" s="477" t="s">
        <v>668</v>
      </c>
      <c r="O1204" s="43"/>
    </row>
    <row r="1205" spans="1:15" ht="24.6" customHeight="1" x14ac:dyDescent="0.4">
      <c r="A1205" s="644"/>
      <c r="B1205" s="538" t="s">
        <v>390</v>
      </c>
      <c r="C1205" s="473"/>
      <c r="D1205" s="473"/>
      <c r="E1205" s="474"/>
      <c r="F1205" s="475">
        <f>O1205*N1205/9</f>
        <v>29500</v>
      </c>
      <c r="G1205" s="474"/>
      <c r="H1205" s="474"/>
      <c r="I1205" s="473"/>
      <c r="J1205" s="473"/>
      <c r="K1205" s="476" t="s">
        <v>63</v>
      </c>
      <c r="L1205" s="536" t="s">
        <v>671</v>
      </c>
      <c r="N1205" s="1">
        <v>186.78241782980641</v>
      </c>
      <c r="O1205" s="366">
        <f>O1197</f>
        <v>1421.44</v>
      </c>
    </row>
    <row r="1206" spans="1:15" ht="25.2" customHeight="1" x14ac:dyDescent="0.4">
      <c r="A1206" s="642">
        <v>45601</v>
      </c>
      <c r="B1206" s="538" t="s">
        <v>390</v>
      </c>
      <c r="C1206" s="473"/>
      <c r="D1206" s="473"/>
      <c r="E1206" s="474">
        <f>10000+750</f>
        <v>10750</v>
      </c>
      <c r="F1206" s="475"/>
      <c r="G1206" s="474"/>
      <c r="H1206" s="474"/>
      <c r="I1206" s="473"/>
      <c r="J1206" s="473"/>
      <c r="K1206" s="476" t="s">
        <v>676</v>
      </c>
      <c r="L1206" s="477" t="s">
        <v>674</v>
      </c>
      <c r="O1206" s="43"/>
    </row>
    <row r="1207" spans="1:15" ht="25.2" customHeight="1" x14ac:dyDescent="0.4">
      <c r="A1207" s="643"/>
      <c r="B1207" s="538" t="s">
        <v>390</v>
      </c>
      <c r="C1207" s="473"/>
      <c r="D1207" s="473"/>
      <c r="E1207" s="474"/>
      <c r="F1207" s="475"/>
      <c r="G1207" s="474"/>
      <c r="H1207" s="474"/>
      <c r="I1207" s="473"/>
      <c r="J1207" s="473">
        <v>27000</v>
      </c>
      <c r="K1207" s="476"/>
      <c r="L1207" s="477" t="s">
        <v>641</v>
      </c>
      <c r="O1207" s="43"/>
    </row>
    <row r="1208" spans="1:15" ht="25.2" customHeight="1" x14ac:dyDescent="0.4">
      <c r="A1208" s="643"/>
      <c r="B1208" s="538" t="s">
        <v>390</v>
      </c>
      <c r="C1208" s="473"/>
      <c r="D1208" s="473"/>
      <c r="E1208" s="474"/>
      <c r="F1208" s="475"/>
      <c r="G1208" s="474"/>
      <c r="H1208" s="474"/>
      <c r="I1208" s="473">
        <v>10000</v>
      </c>
      <c r="J1208" s="473"/>
      <c r="K1208" s="476"/>
      <c r="L1208" s="477" t="s">
        <v>668</v>
      </c>
      <c r="O1208" s="43"/>
    </row>
    <row r="1209" spans="1:15" ht="24.6" customHeight="1" x14ac:dyDescent="0.4">
      <c r="A1209" s="644"/>
      <c r="B1209" s="538" t="s">
        <v>390</v>
      </c>
      <c r="C1209" s="473"/>
      <c r="D1209" s="473"/>
      <c r="E1209" s="474"/>
      <c r="F1209" s="475">
        <f>O1209*N1209/9</f>
        <v>14500</v>
      </c>
      <c r="G1209" s="474"/>
      <c r="H1209" s="474"/>
      <c r="I1209" s="473"/>
      <c r="J1209" s="473"/>
      <c r="K1209" s="476" t="s">
        <v>63</v>
      </c>
      <c r="L1209" s="536" t="s">
        <v>670</v>
      </c>
      <c r="N1209" s="1">
        <v>91.808307068887885</v>
      </c>
      <c r="O1209" s="366">
        <f>O1197</f>
        <v>1421.44</v>
      </c>
    </row>
    <row r="1210" spans="1:15" ht="25.2" customHeight="1" x14ac:dyDescent="0.4">
      <c r="A1210" s="642">
        <v>45602</v>
      </c>
      <c r="B1210" s="538" t="s">
        <v>390</v>
      </c>
      <c r="C1210" s="473"/>
      <c r="D1210" s="473"/>
      <c r="E1210" s="474">
        <f>10000+1500</f>
        <v>11500</v>
      </c>
      <c r="F1210" s="475"/>
      <c r="G1210" s="474"/>
      <c r="H1210" s="474"/>
      <c r="I1210" s="473"/>
      <c r="J1210" s="473"/>
      <c r="K1210" s="476" t="s">
        <v>677</v>
      </c>
      <c r="L1210" s="477" t="s">
        <v>631</v>
      </c>
      <c r="O1210" s="43"/>
    </row>
    <row r="1211" spans="1:15" ht="25.2" customHeight="1" x14ac:dyDescent="0.4">
      <c r="A1211" s="643"/>
      <c r="B1211" s="538" t="s">
        <v>390</v>
      </c>
      <c r="C1211" s="473">
        <v>50000</v>
      </c>
      <c r="D1211" s="473"/>
      <c r="E1211" s="474"/>
      <c r="F1211" s="475"/>
      <c r="G1211" s="474"/>
      <c r="H1211" s="474"/>
      <c r="I1211" s="473"/>
      <c r="J1211" s="473"/>
      <c r="K1211" s="476" t="s">
        <v>686</v>
      </c>
      <c r="L1211" s="477" t="s">
        <v>675</v>
      </c>
      <c r="O1211" s="43"/>
    </row>
    <row r="1212" spans="1:15" ht="25.2" customHeight="1" x14ac:dyDescent="0.4">
      <c r="A1212" s="643"/>
      <c r="B1212" s="538" t="s">
        <v>390</v>
      </c>
      <c r="C1212" s="473"/>
      <c r="D1212" s="473"/>
      <c r="E1212" s="474"/>
      <c r="F1212" s="475"/>
      <c r="G1212" s="474"/>
      <c r="H1212" s="474"/>
      <c r="I1212" s="473"/>
      <c r="J1212" s="473">
        <v>27000</v>
      </c>
      <c r="K1212" s="476"/>
      <c r="L1212" s="477" t="s">
        <v>641</v>
      </c>
      <c r="O1212" s="43"/>
    </row>
    <row r="1213" spans="1:15" ht="25.2" customHeight="1" x14ac:dyDescent="0.4">
      <c r="A1213" s="643"/>
      <c r="B1213" s="538" t="s">
        <v>390</v>
      </c>
      <c r="C1213" s="473"/>
      <c r="D1213" s="473"/>
      <c r="E1213" s="474"/>
      <c r="F1213" s="475"/>
      <c r="G1213" s="474"/>
      <c r="H1213" s="474"/>
      <c r="I1213" s="473">
        <v>10000</v>
      </c>
      <c r="J1213" s="473"/>
      <c r="K1213" s="476"/>
      <c r="L1213" s="477" t="s">
        <v>668</v>
      </c>
      <c r="O1213" s="43"/>
    </row>
    <row r="1214" spans="1:15" ht="24.6" customHeight="1" x14ac:dyDescent="0.4">
      <c r="A1214" s="644"/>
      <c r="B1214" s="538" t="s">
        <v>390</v>
      </c>
      <c r="C1214" s="473"/>
      <c r="D1214" s="473"/>
      <c r="E1214" s="474"/>
      <c r="F1214" s="475">
        <f>O1214*N1214/9</f>
        <v>14500</v>
      </c>
      <c r="G1214" s="474"/>
      <c r="H1214" s="474"/>
      <c r="I1214" s="473"/>
      <c r="J1214" s="473"/>
      <c r="K1214" s="476" t="s">
        <v>63</v>
      </c>
      <c r="L1214" s="536" t="s">
        <v>670</v>
      </c>
      <c r="N1214" s="1">
        <v>91.808307068887885</v>
      </c>
      <c r="O1214" s="366">
        <f>O1197</f>
        <v>1421.44</v>
      </c>
    </row>
    <row r="1215" spans="1:15" ht="25.2" customHeight="1" x14ac:dyDescent="0.4">
      <c r="A1215" s="642">
        <v>45603</v>
      </c>
      <c r="B1215" s="538" t="s">
        <v>390</v>
      </c>
      <c r="C1215" s="473"/>
      <c r="D1215" s="473"/>
      <c r="E1215" s="474">
        <f>10000+750</f>
        <v>10750</v>
      </c>
      <c r="F1215" s="475"/>
      <c r="G1215" s="474"/>
      <c r="H1215" s="474"/>
      <c r="I1215" s="473"/>
      <c r="J1215" s="473"/>
      <c r="K1215" s="476" t="s">
        <v>678</v>
      </c>
      <c r="L1215" s="477" t="s">
        <v>631</v>
      </c>
      <c r="O1215" s="43"/>
    </row>
    <row r="1216" spans="1:15" ht="25.2" customHeight="1" x14ac:dyDescent="0.4">
      <c r="A1216" s="643"/>
      <c r="B1216" s="538" t="s">
        <v>390</v>
      </c>
      <c r="C1216" s="473">
        <v>50000</v>
      </c>
      <c r="D1216" s="473"/>
      <c r="E1216" s="474"/>
      <c r="F1216" s="475"/>
      <c r="G1216" s="474"/>
      <c r="H1216" s="474"/>
      <c r="I1216" s="473"/>
      <c r="J1216" s="473"/>
      <c r="K1216" s="476" t="s">
        <v>687</v>
      </c>
      <c r="L1216" s="477" t="s">
        <v>675</v>
      </c>
      <c r="O1216" s="43"/>
    </row>
    <row r="1217" spans="1:15" ht="25.2" customHeight="1" x14ac:dyDescent="0.4">
      <c r="A1217" s="643"/>
      <c r="B1217" s="538" t="s">
        <v>390</v>
      </c>
      <c r="C1217" s="473"/>
      <c r="D1217" s="473"/>
      <c r="E1217" s="474"/>
      <c r="F1217" s="475"/>
      <c r="G1217" s="474"/>
      <c r="H1217" s="474"/>
      <c r="I1217" s="473"/>
      <c r="J1217" s="473">
        <v>27000</v>
      </c>
      <c r="K1217" s="476"/>
      <c r="L1217" s="477" t="s">
        <v>641</v>
      </c>
      <c r="O1217" s="43"/>
    </row>
    <row r="1218" spans="1:15" ht="25.2" customHeight="1" x14ac:dyDescent="0.4">
      <c r="A1218" s="643"/>
      <c r="B1218" s="538" t="s">
        <v>390</v>
      </c>
      <c r="C1218" s="473"/>
      <c r="D1218" s="473"/>
      <c r="E1218" s="474"/>
      <c r="F1218" s="475"/>
      <c r="G1218" s="474"/>
      <c r="H1218" s="474"/>
      <c r="I1218" s="473">
        <v>10000</v>
      </c>
      <c r="J1218" s="473"/>
      <c r="K1218" s="476"/>
      <c r="L1218" s="477" t="s">
        <v>668</v>
      </c>
      <c r="O1218" s="43"/>
    </row>
    <row r="1219" spans="1:15" ht="24.6" customHeight="1" x14ac:dyDescent="0.4">
      <c r="A1219" s="644"/>
      <c r="B1219" s="538" t="s">
        <v>390</v>
      </c>
      <c r="C1219" s="473"/>
      <c r="D1219" s="473"/>
      <c r="E1219" s="474"/>
      <c r="F1219" s="475">
        <f>O1219*N1219/9</f>
        <v>0</v>
      </c>
      <c r="G1219" s="474"/>
      <c r="H1219" s="474"/>
      <c r="I1219" s="473"/>
      <c r="J1219" s="473"/>
      <c r="K1219" s="476" t="s">
        <v>63</v>
      </c>
      <c r="L1219" s="536" t="s">
        <v>672</v>
      </c>
      <c r="N1219" s="1">
        <v>0</v>
      </c>
      <c r="O1219" s="366">
        <f>O1197</f>
        <v>1421.44</v>
      </c>
    </row>
    <row r="1220" spans="1:15" ht="25.2" customHeight="1" x14ac:dyDescent="0.4">
      <c r="A1220" s="642">
        <v>45604</v>
      </c>
      <c r="B1220" s="538" t="s">
        <v>390</v>
      </c>
      <c r="C1220" s="473"/>
      <c r="D1220" s="473"/>
      <c r="E1220" s="474"/>
      <c r="F1220" s="475"/>
      <c r="G1220" s="474"/>
      <c r="H1220" s="474"/>
      <c r="I1220" s="473"/>
      <c r="J1220" s="473"/>
      <c r="K1220" s="476" t="s">
        <v>679</v>
      </c>
      <c r="L1220" s="477" t="s">
        <v>631</v>
      </c>
      <c r="O1220" s="43"/>
    </row>
    <row r="1221" spans="1:15" ht="25.2" customHeight="1" x14ac:dyDescent="0.4">
      <c r="A1221" s="643"/>
      <c r="B1221" s="538" t="s">
        <v>390</v>
      </c>
      <c r="C1221" s="473">
        <v>50000</v>
      </c>
      <c r="D1221" s="473"/>
      <c r="E1221" s="474"/>
      <c r="F1221" s="475"/>
      <c r="G1221" s="474"/>
      <c r="H1221" s="474"/>
      <c r="I1221" s="473"/>
      <c r="J1221" s="473"/>
      <c r="K1221" s="476" t="s">
        <v>688</v>
      </c>
      <c r="L1221" s="477" t="s">
        <v>675</v>
      </c>
      <c r="O1221" s="43"/>
    </row>
    <row r="1222" spans="1:15" ht="25.2" customHeight="1" x14ac:dyDescent="0.4">
      <c r="A1222" s="643"/>
      <c r="B1222" s="538" t="s">
        <v>390</v>
      </c>
      <c r="C1222" s="473"/>
      <c r="D1222" s="473"/>
      <c r="E1222" s="474"/>
      <c r="F1222" s="475"/>
      <c r="G1222" s="474"/>
      <c r="H1222" s="474"/>
      <c r="I1222" s="473"/>
      <c r="J1222" s="473">
        <v>27000</v>
      </c>
      <c r="K1222" s="476"/>
      <c r="L1222" s="477" t="s">
        <v>641</v>
      </c>
      <c r="O1222" s="43"/>
    </row>
    <row r="1223" spans="1:15" ht="25.2" customHeight="1" x14ac:dyDescent="0.4">
      <c r="A1223" s="643"/>
      <c r="B1223" s="538" t="s">
        <v>390</v>
      </c>
      <c r="C1223" s="473"/>
      <c r="D1223" s="473"/>
      <c r="E1223" s="474"/>
      <c r="F1223" s="475"/>
      <c r="G1223" s="474"/>
      <c r="H1223" s="474"/>
      <c r="I1223" s="473">
        <v>10000</v>
      </c>
      <c r="J1223" s="473"/>
      <c r="K1223" s="476"/>
      <c r="L1223" s="477" t="s">
        <v>668</v>
      </c>
      <c r="O1223" s="43"/>
    </row>
    <row r="1224" spans="1:15" ht="24.6" customHeight="1" x14ac:dyDescent="0.4">
      <c r="A1224" s="644"/>
      <c r="B1224" s="538" t="s">
        <v>390</v>
      </c>
      <c r="C1224" s="473"/>
      <c r="D1224" s="473"/>
      <c r="E1224" s="474"/>
      <c r="F1224" s="475">
        <f>O1224*N1224/9</f>
        <v>0</v>
      </c>
      <c r="G1224" s="474"/>
      <c r="H1224" s="474"/>
      <c r="I1224" s="473"/>
      <c r="J1224" s="473"/>
      <c r="K1224" s="476" t="s">
        <v>63</v>
      </c>
      <c r="L1224" s="536" t="s">
        <v>673</v>
      </c>
      <c r="N1224" s="1">
        <v>0</v>
      </c>
      <c r="O1224" s="366">
        <f>O1197</f>
        <v>1421.44</v>
      </c>
    </row>
    <row r="1225" spans="1:15" ht="25.2" customHeight="1" x14ac:dyDescent="0.4">
      <c r="A1225" s="642">
        <v>45605</v>
      </c>
      <c r="B1225" s="538" t="s">
        <v>390</v>
      </c>
      <c r="C1225" s="473"/>
      <c r="D1225" s="473"/>
      <c r="E1225" s="474">
        <f>8000</f>
        <v>8000</v>
      </c>
      <c r="F1225" s="475"/>
      <c r="G1225" s="474"/>
      <c r="H1225" s="474"/>
      <c r="I1225" s="473"/>
      <c r="J1225" s="473"/>
      <c r="K1225" s="476" t="s">
        <v>680</v>
      </c>
      <c r="L1225" s="477" t="s">
        <v>631</v>
      </c>
      <c r="O1225" s="43"/>
    </row>
    <row r="1226" spans="1:15" ht="25.2" customHeight="1" x14ac:dyDescent="0.4">
      <c r="A1226" s="643"/>
      <c r="B1226" s="538" t="s">
        <v>390</v>
      </c>
      <c r="C1226" s="473"/>
      <c r="D1226" s="473"/>
      <c r="E1226" s="474"/>
      <c r="F1226" s="475"/>
      <c r="G1226" s="474"/>
      <c r="H1226" s="474"/>
      <c r="I1226" s="473"/>
      <c r="J1226" s="473">
        <v>27000</v>
      </c>
      <c r="K1226" s="476"/>
      <c r="L1226" s="477" t="s">
        <v>641</v>
      </c>
      <c r="O1226" s="43"/>
    </row>
    <row r="1227" spans="1:15" ht="25.2" customHeight="1" x14ac:dyDescent="0.4">
      <c r="A1227" s="643"/>
      <c r="B1227" s="538" t="s">
        <v>390</v>
      </c>
      <c r="C1227" s="473"/>
      <c r="D1227" s="473"/>
      <c r="E1227" s="474"/>
      <c r="F1227" s="475"/>
      <c r="G1227" s="474"/>
      <c r="H1227" s="474"/>
      <c r="I1227" s="473">
        <v>10000</v>
      </c>
      <c r="J1227" s="473"/>
      <c r="K1227" s="476"/>
      <c r="L1227" s="477" t="s">
        <v>668</v>
      </c>
      <c r="O1227" s="43"/>
    </row>
    <row r="1228" spans="1:15" ht="24.6" customHeight="1" x14ac:dyDescent="0.4">
      <c r="A1228" s="644"/>
      <c r="B1228" s="538" t="s">
        <v>390</v>
      </c>
      <c r="C1228" s="473"/>
      <c r="D1228" s="473"/>
      <c r="E1228" s="474"/>
      <c r="F1228" s="475">
        <f>O1228*N1228/9</f>
        <v>29500</v>
      </c>
      <c r="G1228" s="474"/>
      <c r="H1228" s="474"/>
      <c r="I1228" s="473"/>
      <c r="J1228" s="473"/>
      <c r="K1228" s="476" t="s">
        <v>63</v>
      </c>
      <c r="L1228" s="536" t="s">
        <v>671</v>
      </c>
      <c r="N1228" s="1">
        <v>186.78241782980641</v>
      </c>
      <c r="O1228" s="366">
        <f>O1197</f>
        <v>1421.44</v>
      </c>
    </row>
    <row r="1229" spans="1:15" ht="25.2" customHeight="1" x14ac:dyDescent="0.4">
      <c r="A1229" s="642">
        <v>45607</v>
      </c>
      <c r="B1229" s="538" t="s">
        <v>390</v>
      </c>
      <c r="C1229" s="473"/>
      <c r="D1229" s="473"/>
      <c r="E1229" s="474">
        <f>1800+1500+10000+10000</f>
        <v>23300</v>
      </c>
      <c r="F1229" s="475"/>
      <c r="G1229" s="474"/>
      <c r="H1229" s="474"/>
      <c r="I1229" s="473"/>
      <c r="J1229" s="473"/>
      <c r="K1229" s="476" t="s">
        <v>681</v>
      </c>
      <c r="L1229" s="477" t="s">
        <v>631</v>
      </c>
      <c r="O1229" s="43"/>
    </row>
    <row r="1230" spans="1:15" ht="25.2" customHeight="1" x14ac:dyDescent="0.4">
      <c r="A1230" s="643"/>
      <c r="B1230" s="538" t="s">
        <v>390</v>
      </c>
      <c r="C1230" s="473"/>
      <c r="D1230" s="473"/>
      <c r="E1230" s="474"/>
      <c r="F1230" s="475"/>
      <c r="G1230" s="474"/>
      <c r="H1230" s="474"/>
      <c r="I1230" s="473"/>
      <c r="J1230" s="473">
        <v>27000</v>
      </c>
      <c r="K1230" s="476"/>
      <c r="L1230" s="477" t="s">
        <v>641</v>
      </c>
      <c r="O1230" s="43"/>
    </row>
    <row r="1231" spans="1:15" ht="25.2" customHeight="1" x14ac:dyDescent="0.4">
      <c r="A1231" s="643"/>
      <c r="B1231" s="538" t="s">
        <v>390</v>
      </c>
      <c r="C1231" s="473"/>
      <c r="D1231" s="473"/>
      <c r="E1231" s="474"/>
      <c r="F1231" s="475"/>
      <c r="G1231" s="474"/>
      <c r="H1231" s="474"/>
      <c r="I1231" s="473">
        <v>10000</v>
      </c>
      <c r="J1231" s="473"/>
      <c r="K1231" s="476"/>
      <c r="L1231" s="477" t="s">
        <v>668</v>
      </c>
      <c r="O1231" s="43"/>
    </row>
    <row r="1232" spans="1:15" ht="24.6" customHeight="1" x14ac:dyDescent="0.4">
      <c r="A1232" s="644"/>
      <c r="B1232" s="538" t="s">
        <v>390</v>
      </c>
      <c r="C1232" s="473"/>
      <c r="D1232" s="473"/>
      <c r="E1232" s="474"/>
      <c r="F1232" s="475">
        <f>O1232*N1232/9</f>
        <v>29500</v>
      </c>
      <c r="G1232" s="474"/>
      <c r="H1232" s="474"/>
      <c r="I1232" s="473"/>
      <c r="J1232" s="473"/>
      <c r="K1232" s="476" t="s">
        <v>63</v>
      </c>
      <c r="L1232" s="536" t="s">
        <v>671</v>
      </c>
      <c r="N1232" s="1">
        <v>186.78241782980641</v>
      </c>
      <c r="O1232" s="366">
        <f>O1197</f>
        <v>1421.44</v>
      </c>
    </row>
    <row r="1233" spans="1:15" ht="25.2" customHeight="1" x14ac:dyDescent="0.4">
      <c r="A1233" s="642">
        <v>45608</v>
      </c>
      <c r="B1233" s="538" t="s">
        <v>390</v>
      </c>
      <c r="C1233" s="473"/>
      <c r="D1233" s="473"/>
      <c r="E1233" s="474">
        <f>10000+10000+750+750</f>
        <v>21500</v>
      </c>
      <c r="F1233" s="475"/>
      <c r="G1233" s="474"/>
      <c r="H1233" s="474"/>
      <c r="I1233" s="473"/>
      <c r="J1233" s="473"/>
      <c r="K1233" s="476" t="s">
        <v>682</v>
      </c>
      <c r="L1233" s="477" t="s">
        <v>631</v>
      </c>
      <c r="O1233" s="43"/>
    </row>
    <row r="1234" spans="1:15" ht="25.2" customHeight="1" x14ac:dyDescent="0.4">
      <c r="A1234" s="643"/>
      <c r="B1234" s="538" t="s">
        <v>390</v>
      </c>
      <c r="C1234" s="473"/>
      <c r="D1234" s="473"/>
      <c r="E1234" s="474"/>
      <c r="F1234" s="475"/>
      <c r="G1234" s="474"/>
      <c r="H1234" s="474"/>
      <c r="I1234" s="473"/>
      <c r="J1234" s="473">
        <v>27000</v>
      </c>
      <c r="K1234" s="476"/>
      <c r="L1234" s="477" t="s">
        <v>641</v>
      </c>
      <c r="O1234" s="43"/>
    </row>
    <row r="1235" spans="1:15" ht="25.2" customHeight="1" x14ac:dyDescent="0.4">
      <c r="A1235" s="643"/>
      <c r="B1235" s="538" t="s">
        <v>390</v>
      </c>
      <c r="C1235" s="473"/>
      <c r="D1235" s="473"/>
      <c r="E1235" s="474"/>
      <c r="F1235" s="475"/>
      <c r="G1235" s="474"/>
      <c r="H1235" s="474"/>
      <c r="I1235" s="473">
        <v>10000</v>
      </c>
      <c r="J1235" s="473"/>
      <c r="K1235" s="476"/>
      <c r="L1235" s="477" t="s">
        <v>668</v>
      </c>
      <c r="O1235" s="43"/>
    </row>
    <row r="1236" spans="1:15" ht="24.6" customHeight="1" x14ac:dyDescent="0.4">
      <c r="A1236" s="644"/>
      <c r="B1236" s="538" t="s">
        <v>390</v>
      </c>
      <c r="C1236" s="473"/>
      <c r="D1236" s="473"/>
      <c r="E1236" s="474"/>
      <c r="F1236" s="475">
        <f>O1236*N1236/9</f>
        <v>29500</v>
      </c>
      <c r="G1236" s="474"/>
      <c r="H1236" s="474"/>
      <c r="I1236" s="473"/>
      <c r="J1236" s="473"/>
      <c r="K1236" s="476" t="s">
        <v>63</v>
      </c>
      <c r="L1236" s="536" t="s">
        <v>671</v>
      </c>
      <c r="N1236" s="1">
        <v>186.78241782980641</v>
      </c>
      <c r="O1236" s="366">
        <f>O1197</f>
        <v>1421.44</v>
      </c>
    </row>
    <row r="1237" spans="1:15" ht="25.2" customHeight="1" x14ac:dyDescent="0.4">
      <c r="A1237" s="642">
        <v>45609</v>
      </c>
      <c r="B1237" s="538" t="s">
        <v>390</v>
      </c>
      <c r="C1237" s="473"/>
      <c r="D1237" s="473"/>
      <c r="E1237" s="474">
        <f>10000+10000+750+1200</f>
        <v>21950</v>
      </c>
      <c r="F1237" s="475"/>
      <c r="G1237" s="474"/>
      <c r="H1237" s="474"/>
      <c r="I1237" s="473"/>
      <c r="J1237" s="473"/>
      <c r="K1237" s="476" t="s">
        <v>683</v>
      </c>
      <c r="L1237" s="477" t="s">
        <v>631</v>
      </c>
      <c r="O1237" s="43"/>
    </row>
    <row r="1238" spans="1:15" ht="25.2" customHeight="1" x14ac:dyDescent="0.4">
      <c r="A1238" s="643"/>
      <c r="B1238" s="538" t="s">
        <v>390</v>
      </c>
      <c r="C1238" s="473"/>
      <c r="D1238" s="473"/>
      <c r="E1238" s="474"/>
      <c r="F1238" s="475"/>
      <c r="G1238" s="474"/>
      <c r="H1238" s="474"/>
      <c r="I1238" s="473"/>
      <c r="J1238" s="473">
        <v>27000</v>
      </c>
      <c r="K1238" s="476"/>
      <c r="L1238" s="477" t="s">
        <v>641</v>
      </c>
      <c r="O1238" s="43"/>
    </row>
    <row r="1239" spans="1:15" ht="25.2" customHeight="1" x14ac:dyDescent="0.4">
      <c r="A1239" s="643"/>
      <c r="B1239" s="538" t="s">
        <v>390</v>
      </c>
      <c r="C1239" s="473"/>
      <c r="D1239" s="473"/>
      <c r="E1239" s="474"/>
      <c r="F1239" s="475"/>
      <c r="G1239" s="474"/>
      <c r="H1239" s="474"/>
      <c r="I1239" s="473">
        <v>10000</v>
      </c>
      <c r="J1239" s="473"/>
      <c r="K1239" s="476"/>
      <c r="L1239" s="477" t="s">
        <v>668</v>
      </c>
      <c r="O1239" s="43"/>
    </row>
    <row r="1240" spans="1:15" ht="24.6" customHeight="1" x14ac:dyDescent="0.4">
      <c r="A1240" s="644"/>
      <c r="B1240" s="538" t="s">
        <v>390</v>
      </c>
      <c r="C1240" s="473"/>
      <c r="D1240" s="473"/>
      <c r="E1240" s="474"/>
      <c r="F1240" s="475">
        <f>O1240*N1240/9</f>
        <v>29500</v>
      </c>
      <c r="G1240" s="474"/>
      <c r="H1240" s="474"/>
      <c r="I1240" s="473"/>
      <c r="J1240" s="473"/>
      <c r="K1240" s="476" t="s">
        <v>63</v>
      </c>
      <c r="L1240" s="536" t="s">
        <v>671</v>
      </c>
      <c r="N1240" s="1">
        <v>186.78241782980641</v>
      </c>
      <c r="O1240" s="366">
        <f>O1197</f>
        <v>1421.44</v>
      </c>
    </row>
    <row r="1241" spans="1:15" ht="25.2" customHeight="1" x14ac:dyDescent="0.4">
      <c r="A1241" s="642">
        <v>45610</v>
      </c>
      <c r="B1241" s="538" t="s">
        <v>390</v>
      </c>
      <c r="C1241" s="473"/>
      <c r="D1241" s="473"/>
      <c r="E1241" s="474">
        <f>10000+10000+750+1200</f>
        <v>21950</v>
      </c>
      <c r="F1241" s="475"/>
      <c r="G1241" s="474"/>
      <c r="H1241" s="474"/>
      <c r="I1241" s="473"/>
      <c r="J1241" s="473"/>
      <c r="K1241" s="476" t="s">
        <v>684</v>
      </c>
      <c r="L1241" s="477" t="s">
        <v>631</v>
      </c>
      <c r="O1241" s="43"/>
    </row>
    <row r="1242" spans="1:15" ht="25.2" customHeight="1" x14ac:dyDescent="0.4">
      <c r="A1242" s="643"/>
      <c r="B1242" s="538" t="s">
        <v>390</v>
      </c>
      <c r="C1242" s="473"/>
      <c r="D1242" s="473"/>
      <c r="E1242" s="474"/>
      <c r="F1242" s="475"/>
      <c r="G1242" s="474"/>
      <c r="H1242" s="474"/>
      <c r="I1242" s="473"/>
      <c r="J1242" s="473">
        <v>27000</v>
      </c>
      <c r="K1242" s="476"/>
      <c r="L1242" s="477" t="s">
        <v>641</v>
      </c>
      <c r="O1242" s="43"/>
    </row>
    <row r="1243" spans="1:15" ht="25.2" customHeight="1" x14ac:dyDescent="0.4">
      <c r="A1243" s="643"/>
      <c r="B1243" s="538" t="s">
        <v>390</v>
      </c>
      <c r="C1243" s="473"/>
      <c r="D1243" s="473"/>
      <c r="E1243" s="474"/>
      <c r="F1243" s="475"/>
      <c r="G1243" s="474"/>
      <c r="H1243" s="474"/>
      <c r="I1243" s="473">
        <v>10000</v>
      </c>
      <c r="J1243" s="473"/>
      <c r="K1243" s="476"/>
      <c r="L1243" s="477" t="s">
        <v>668</v>
      </c>
      <c r="O1243" s="43"/>
    </row>
    <row r="1244" spans="1:15" ht="24.6" customHeight="1" x14ac:dyDescent="0.4">
      <c r="A1244" s="644"/>
      <c r="B1244" s="538" t="s">
        <v>390</v>
      </c>
      <c r="C1244" s="473"/>
      <c r="D1244" s="473"/>
      <c r="E1244" s="474"/>
      <c r="F1244" s="475">
        <f>O1244*N1244/9</f>
        <v>29500</v>
      </c>
      <c r="G1244" s="474"/>
      <c r="H1244" s="474"/>
      <c r="I1244" s="473"/>
      <c r="J1244" s="473"/>
      <c r="K1244" s="476" t="s">
        <v>63</v>
      </c>
      <c r="L1244" s="536" t="s">
        <v>671</v>
      </c>
      <c r="N1244" s="1">
        <v>186.78241782980641</v>
      </c>
      <c r="O1244" s="366">
        <f>O1197</f>
        <v>1421.44</v>
      </c>
    </row>
    <row r="1245" spans="1:15" ht="25.2" customHeight="1" x14ac:dyDescent="0.4">
      <c r="A1245" s="642">
        <v>45611</v>
      </c>
      <c r="B1245" s="538" t="s">
        <v>390</v>
      </c>
      <c r="C1245" s="473"/>
      <c r="D1245" s="473"/>
      <c r="E1245" s="474">
        <f>10000+10000+1200+1800</f>
        <v>23000</v>
      </c>
      <c r="F1245" s="475"/>
      <c r="G1245" s="474"/>
      <c r="H1245" s="474"/>
      <c r="I1245" s="473"/>
      <c r="J1245" s="473"/>
      <c r="K1245" s="476" t="s">
        <v>685</v>
      </c>
      <c r="L1245" s="477" t="s">
        <v>643</v>
      </c>
      <c r="O1245" s="43"/>
    </row>
    <row r="1246" spans="1:15" ht="25.2" customHeight="1" x14ac:dyDescent="0.4">
      <c r="A1246" s="643"/>
      <c r="B1246" s="538" t="s">
        <v>390</v>
      </c>
      <c r="C1246" s="473"/>
      <c r="D1246" s="473"/>
      <c r="E1246" s="474"/>
      <c r="F1246" s="475"/>
      <c r="G1246" s="474"/>
      <c r="H1246" s="474"/>
      <c r="I1246" s="473"/>
      <c r="J1246" s="473">
        <v>27000</v>
      </c>
      <c r="K1246" s="476"/>
      <c r="L1246" s="477" t="s">
        <v>642</v>
      </c>
      <c r="O1246" s="43"/>
    </row>
    <row r="1247" spans="1:15" ht="25.2" customHeight="1" x14ac:dyDescent="0.4">
      <c r="A1247" s="643"/>
      <c r="B1247" s="538" t="s">
        <v>390</v>
      </c>
      <c r="C1247" s="473"/>
      <c r="D1247" s="473"/>
      <c r="E1247" s="474"/>
      <c r="F1247" s="475"/>
      <c r="G1247" s="474"/>
      <c r="H1247" s="474"/>
      <c r="I1247" s="473">
        <v>10000</v>
      </c>
      <c r="J1247" s="473"/>
      <c r="K1247" s="476"/>
      <c r="L1247" s="477" t="s">
        <v>668</v>
      </c>
      <c r="O1247" s="43"/>
    </row>
    <row r="1248" spans="1:15" ht="24.6" customHeight="1" x14ac:dyDescent="0.4">
      <c r="A1248" s="644"/>
      <c r="B1248" s="538" t="s">
        <v>390</v>
      </c>
      <c r="C1248" s="473"/>
      <c r="D1248" s="473"/>
      <c r="E1248" s="474"/>
      <c r="F1248" s="475">
        <f>O1248*N1248/9</f>
        <v>29500</v>
      </c>
      <c r="G1248" s="474"/>
      <c r="H1248" s="474"/>
      <c r="I1248" s="473"/>
      <c r="J1248" s="473"/>
      <c r="K1248" s="476" t="s">
        <v>63</v>
      </c>
      <c r="L1248" s="536" t="s">
        <v>671</v>
      </c>
      <c r="N1248" s="1">
        <v>186.78241782980641</v>
      </c>
      <c r="O1248" s="366">
        <f>O1197</f>
        <v>1421.44</v>
      </c>
    </row>
    <row r="1249" spans="1:16" ht="25.2" customHeight="1" x14ac:dyDescent="0.4">
      <c r="A1249" s="645" t="s">
        <v>17</v>
      </c>
      <c r="B1249" s="645"/>
      <c r="C1249" s="474">
        <f>SUM(C1198:C1248)</f>
        <v>150000</v>
      </c>
      <c r="D1249" s="474">
        <f>SUM(D1198:D1248)</f>
        <v>0</v>
      </c>
      <c r="E1249" s="474">
        <f>SUM(E1198:E1248)</f>
        <v>186000</v>
      </c>
      <c r="F1249" s="474">
        <f>ROUNDDOWN(SUM(F1198:F1248),0)</f>
        <v>250000</v>
      </c>
      <c r="G1249" s="474" t="e">
        <f>SUM(#REF!)</f>
        <v>#REF!</v>
      </c>
      <c r="H1249" s="474" t="e">
        <f>SUM(#REF!)</f>
        <v>#REF!</v>
      </c>
      <c r="I1249" s="474">
        <f>SUM(I1198:I1248)</f>
        <v>120000</v>
      </c>
      <c r="J1249" s="474">
        <f>SUM(J1198:J1248)</f>
        <v>324000</v>
      </c>
      <c r="K1249" s="476" t="s">
        <v>63</v>
      </c>
      <c r="L1249" s="536" t="s">
        <v>689</v>
      </c>
    </row>
    <row r="1250" spans="1:16" ht="25.2" customHeight="1" x14ac:dyDescent="0.4">
      <c r="A1250" s="646" t="s">
        <v>18</v>
      </c>
      <c r="B1250" s="646"/>
      <c r="C1250" s="647">
        <f>C1249+D1249+E1249+F1249+I1249+J1249</f>
        <v>1030000</v>
      </c>
      <c r="D1250" s="647"/>
      <c r="E1250" s="647"/>
      <c r="F1250" s="647"/>
      <c r="G1250" s="647"/>
      <c r="H1250" s="647"/>
      <c r="I1250" s="647"/>
      <c r="J1250" s="647"/>
      <c r="K1250" s="481"/>
      <c r="L1250" s="537"/>
    </row>
    <row r="1253" spans="1:16" ht="25.2" customHeight="1" x14ac:dyDescent="0.4">
      <c r="A1253" s="471" t="s">
        <v>0</v>
      </c>
      <c r="B1253" s="471" t="s">
        <v>1</v>
      </c>
      <c r="C1253" s="471" t="s">
        <v>255</v>
      </c>
      <c r="D1253" s="471" t="s">
        <v>287</v>
      </c>
      <c r="E1253" s="471" t="s">
        <v>74</v>
      </c>
      <c r="F1253" s="471" t="s">
        <v>3</v>
      </c>
      <c r="G1253" s="471" t="s">
        <v>4</v>
      </c>
      <c r="H1253" s="471" t="s">
        <v>5</v>
      </c>
      <c r="I1253" s="471" t="s">
        <v>6</v>
      </c>
      <c r="J1253" s="471" t="s">
        <v>7</v>
      </c>
      <c r="K1253" s="471" t="s">
        <v>60</v>
      </c>
      <c r="L1253" s="471" t="s">
        <v>8</v>
      </c>
      <c r="O1253" s="43">
        <v>1421.44</v>
      </c>
      <c r="P1253" s="43"/>
    </row>
    <row r="1254" spans="1:16" ht="25.2" customHeight="1" x14ac:dyDescent="0.4">
      <c r="A1254" s="642">
        <v>45614</v>
      </c>
      <c r="B1254" s="541" t="s">
        <v>390</v>
      </c>
      <c r="C1254" s="473"/>
      <c r="D1254" s="473"/>
      <c r="E1254" s="474">
        <f>10000+1800</f>
        <v>11800</v>
      </c>
      <c r="F1254" s="475"/>
      <c r="G1254" s="474"/>
      <c r="H1254" s="474"/>
      <c r="I1254" s="473"/>
      <c r="J1254" s="473"/>
      <c r="K1254" s="476" t="s">
        <v>61</v>
      </c>
      <c r="L1254" s="477" t="s">
        <v>631</v>
      </c>
      <c r="O1254" s="43"/>
    </row>
    <row r="1255" spans="1:16" ht="25.2" customHeight="1" x14ac:dyDescent="0.4">
      <c r="A1255" s="643"/>
      <c r="B1255" s="541" t="s">
        <v>390</v>
      </c>
      <c r="C1255" s="473"/>
      <c r="D1255" s="473"/>
      <c r="E1255" s="474"/>
      <c r="F1255" s="475"/>
      <c r="G1255" s="474"/>
      <c r="H1255" s="474"/>
      <c r="I1255" s="473"/>
      <c r="J1255" s="473">
        <v>27000</v>
      </c>
      <c r="K1255" s="476" t="s">
        <v>63</v>
      </c>
      <c r="L1255" s="477" t="s">
        <v>641</v>
      </c>
      <c r="O1255" s="43"/>
    </row>
    <row r="1256" spans="1:16" ht="25.2" customHeight="1" x14ac:dyDescent="0.4">
      <c r="A1256" s="643"/>
      <c r="B1256" s="541" t="s">
        <v>390</v>
      </c>
      <c r="C1256" s="473"/>
      <c r="D1256" s="473"/>
      <c r="E1256" s="474"/>
      <c r="F1256" s="475"/>
      <c r="G1256" s="474"/>
      <c r="H1256" s="474"/>
      <c r="I1256" s="473">
        <v>10000</v>
      </c>
      <c r="J1256" s="473"/>
      <c r="K1256" s="476"/>
      <c r="L1256" s="477" t="s">
        <v>668</v>
      </c>
      <c r="O1256" s="43"/>
    </row>
    <row r="1257" spans="1:16" ht="24.6" customHeight="1" x14ac:dyDescent="0.4">
      <c r="A1257" s="644"/>
      <c r="B1257" s="541" t="s">
        <v>390</v>
      </c>
      <c r="C1257" s="473"/>
      <c r="D1257" s="473"/>
      <c r="E1257" s="474"/>
      <c r="F1257" s="475">
        <f>O1257*N1257/9</f>
        <v>14500</v>
      </c>
      <c r="G1257" s="474"/>
      <c r="H1257" s="474"/>
      <c r="I1257" s="473"/>
      <c r="J1257" s="473"/>
      <c r="K1257" s="476" t="s">
        <v>63</v>
      </c>
      <c r="L1257" s="540" t="s">
        <v>670</v>
      </c>
      <c r="N1257" s="1">
        <v>91.808307068887885</v>
      </c>
      <c r="O1257" s="366">
        <f>O1253</f>
        <v>1421.44</v>
      </c>
    </row>
    <row r="1258" spans="1:16" ht="25.2" customHeight="1" x14ac:dyDescent="0.4">
      <c r="A1258" s="642">
        <v>45615</v>
      </c>
      <c r="B1258" s="541" t="s">
        <v>390</v>
      </c>
      <c r="C1258" s="473">
        <v>50000</v>
      </c>
      <c r="D1258" s="473"/>
      <c r="E1258" s="474"/>
      <c r="F1258" s="475"/>
      <c r="G1258" s="474"/>
      <c r="H1258" s="474"/>
      <c r="I1258" s="473"/>
      <c r="J1258" s="473"/>
      <c r="K1258" s="476" t="s">
        <v>91</v>
      </c>
      <c r="L1258" s="477" t="s">
        <v>691</v>
      </c>
      <c r="O1258" s="43"/>
    </row>
    <row r="1259" spans="1:16" ht="25.2" customHeight="1" x14ac:dyDescent="0.4">
      <c r="A1259" s="643"/>
      <c r="B1259" s="541" t="s">
        <v>390</v>
      </c>
      <c r="C1259" s="473"/>
      <c r="D1259" s="473"/>
      <c r="E1259" s="474"/>
      <c r="F1259" s="475"/>
      <c r="G1259" s="474"/>
      <c r="H1259" s="474"/>
      <c r="I1259" s="473"/>
      <c r="J1259" s="473">
        <v>27000</v>
      </c>
      <c r="K1259" s="476"/>
      <c r="L1259" s="477" t="s">
        <v>641</v>
      </c>
      <c r="O1259" s="43"/>
    </row>
    <row r="1260" spans="1:16" ht="25.2" customHeight="1" x14ac:dyDescent="0.4">
      <c r="A1260" s="643"/>
      <c r="B1260" s="541" t="s">
        <v>390</v>
      </c>
      <c r="C1260" s="473"/>
      <c r="D1260" s="473"/>
      <c r="E1260" s="474"/>
      <c r="F1260" s="475"/>
      <c r="G1260" s="474"/>
      <c r="H1260" s="474"/>
      <c r="I1260" s="473">
        <v>10000</v>
      </c>
      <c r="J1260" s="473"/>
      <c r="K1260" s="476"/>
      <c r="L1260" s="477" t="s">
        <v>668</v>
      </c>
      <c r="O1260" s="43"/>
    </row>
    <row r="1261" spans="1:16" ht="24.6" customHeight="1" x14ac:dyDescent="0.4">
      <c r="A1261" s="644"/>
      <c r="B1261" s="541" t="s">
        <v>390</v>
      </c>
      <c r="C1261" s="473"/>
      <c r="D1261" s="473"/>
      <c r="E1261" s="474"/>
      <c r="F1261" s="475">
        <f>O1261*N1261/9</f>
        <v>0</v>
      </c>
      <c r="G1261" s="474"/>
      <c r="H1261" s="474"/>
      <c r="I1261" s="473"/>
      <c r="J1261" s="473"/>
      <c r="K1261" s="476" t="s">
        <v>63</v>
      </c>
      <c r="L1261" s="540" t="s">
        <v>671</v>
      </c>
      <c r="N1261" s="1">
        <v>0</v>
      </c>
      <c r="O1261" s="366">
        <f>O1253</f>
        <v>1421.44</v>
      </c>
    </row>
    <row r="1262" spans="1:16" ht="25.2" customHeight="1" x14ac:dyDescent="0.4">
      <c r="A1262" s="642">
        <v>45616</v>
      </c>
      <c r="B1262" s="541" t="s">
        <v>390</v>
      </c>
      <c r="C1262" s="473"/>
      <c r="D1262" s="473"/>
      <c r="E1262" s="474">
        <f>10000+1200</f>
        <v>11200</v>
      </c>
      <c r="F1262" s="475"/>
      <c r="G1262" s="474"/>
      <c r="H1262" s="474"/>
      <c r="I1262" s="473"/>
      <c r="J1262" s="473"/>
      <c r="K1262" s="476" t="s">
        <v>84</v>
      </c>
      <c r="L1262" s="477" t="s">
        <v>674</v>
      </c>
      <c r="O1262" s="43"/>
    </row>
    <row r="1263" spans="1:16" ht="25.2" customHeight="1" x14ac:dyDescent="0.4">
      <c r="A1263" s="643"/>
      <c r="B1263" s="541" t="s">
        <v>390</v>
      </c>
      <c r="C1263" s="473"/>
      <c r="D1263" s="473"/>
      <c r="E1263" s="474"/>
      <c r="F1263" s="475"/>
      <c r="G1263" s="474"/>
      <c r="H1263" s="474"/>
      <c r="I1263" s="473"/>
      <c r="J1263" s="473">
        <v>27000</v>
      </c>
      <c r="K1263" s="476"/>
      <c r="L1263" s="477" t="s">
        <v>641</v>
      </c>
      <c r="O1263" s="43"/>
    </row>
    <row r="1264" spans="1:16" ht="25.2" customHeight="1" x14ac:dyDescent="0.4">
      <c r="A1264" s="643"/>
      <c r="B1264" s="541" t="s">
        <v>390</v>
      </c>
      <c r="C1264" s="473"/>
      <c r="D1264" s="473"/>
      <c r="E1264" s="474"/>
      <c r="F1264" s="475"/>
      <c r="G1264" s="474"/>
      <c r="H1264" s="474"/>
      <c r="I1264" s="473">
        <v>10000</v>
      </c>
      <c r="J1264" s="473"/>
      <c r="K1264" s="476"/>
      <c r="L1264" s="477" t="s">
        <v>668</v>
      </c>
      <c r="O1264" s="43"/>
    </row>
    <row r="1265" spans="1:16" ht="24.6" customHeight="1" x14ac:dyDescent="0.4">
      <c r="A1265" s="644"/>
      <c r="B1265" s="541" t="s">
        <v>390</v>
      </c>
      <c r="C1265" s="473"/>
      <c r="D1265" s="473"/>
      <c r="E1265" s="474"/>
      <c r="F1265" s="475">
        <f>O1265*N1265/9</f>
        <v>14500</v>
      </c>
      <c r="G1265" s="474"/>
      <c r="H1265" s="474"/>
      <c r="I1265" s="473"/>
      <c r="J1265" s="473"/>
      <c r="K1265" s="476" t="s">
        <v>63</v>
      </c>
      <c r="L1265" s="540" t="s">
        <v>670</v>
      </c>
      <c r="N1265" s="1">
        <v>91.808307068887885</v>
      </c>
      <c r="O1265" s="366">
        <f>O1253</f>
        <v>1421.44</v>
      </c>
    </row>
    <row r="1266" spans="1:16" ht="25.2" customHeight="1" x14ac:dyDescent="0.4">
      <c r="A1266" s="642">
        <v>45618</v>
      </c>
      <c r="B1266" s="541" t="s">
        <v>390</v>
      </c>
      <c r="C1266" s="473"/>
      <c r="D1266" s="473"/>
      <c r="E1266" s="474">
        <f>10000+10000+1200+750</f>
        <v>21950</v>
      </c>
      <c r="F1266" s="475"/>
      <c r="G1266" s="474"/>
      <c r="H1266" s="474"/>
      <c r="I1266" s="473"/>
      <c r="J1266" s="473"/>
      <c r="K1266" s="476" t="s">
        <v>692</v>
      </c>
      <c r="L1266" s="477" t="s">
        <v>643</v>
      </c>
      <c r="O1266" s="43"/>
    </row>
    <row r="1267" spans="1:16" ht="25.2" customHeight="1" x14ac:dyDescent="0.4">
      <c r="A1267" s="643"/>
      <c r="B1267" s="541" t="s">
        <v>390</v>
      </c>
      <c r="C1267" s="473"/>
      <c r="D1267" s="473"/>
      <c r="E1267" s="474"/>
      <c r="F1267" s="475"/>
      <c r="G1267" s="474"/>
      <c r="H1267" s="474"/>
      <c r="I1267" s="473"/>
      <c r="J1267" s="473">
        <v>27000</v>
      </c>
      <c r="K1267" s="476"/>
      <c r="L1267" s="477" t="s">
        <v>642</v>
      </c>
      <c r="O1267" s="43"/>
    </row>
    <row r="1268" spans="1:16" ht="25.2" customHeight="1" x14ac:dyDescent="0.4">
      <c r="A1268" s="643"/>
      <c r="B1268" s="541" t="s">
        <v>390</v>
      </c>
      <c r="C1268" s="473"/>
      <c r="D1268" s="473"/>
      <c r="E1268" s="474"/>
      <c r="F1268" s="475"/>
      <c r="G1268" s="474"/>
      <c r="H1268" s="474"/>
      <c r="I1268" s="473">
        <v>10000</v>
      </c>
      <c r="J1268" s="473"/>
      <c r="K1268" s="476"/>
      <c r="L1268" s="477" t="s">
        <v>668</v>
      </c>
      <c r="O1268" s="43"/>
    </row>
    <row r="1269" spans="1:16" ht="24.6" customHeight="1" x14ac:dyDescent="0.4">
      <c r="A1269" s="644"/>
      <c r="B1269" s="541" t="s">
        <v>390</v>
      </c>
      <c r="C1269" s="473"/>
      <c r="D1269" s="473"/>
      <c r="E1269" s="474"/>
      <c r="F1269" s="475">
        <f>O1269*N1269/9</f>
        <v>29500</v>
      </c>
      <c r="G1269" s="474"/>
      <c r="H1269" s="474"/>
      <c r="I1269" s="473"/>
      <c r="J1269" s="473"/>
      <c r="K1269" s="476" t="s">
        <v>63</v>
      </c>
      <c r="L1269" s="540" t="s">
        <v>671</v>
      </c>
      <c r="N1269" s="1">
        <v>186.78241782980641</v>
      </c>
      <c r="O1269" s="366">
        <f>O1253</f>
        <v>1421.44</v>
      </c>
    </row>
    <row r="1270" spans="1:16" ht="25.2" customHeight="1" x14ac:dyDescent="0.4">
      <c r="A1270" s="645" t="s">
        <v>17</v>
      </c>
      <c r="B1270" s="645"/>
      <c r="C1270" s="474">
        <f>SUM(C1254:C1269)</f>
        <v>50000</v>
      </c>
      <c r="D1270" s="474">
        <f>SUM(D1254:D1269)</f>
        <v>0</v>
      </c>
      <c r="E1270" s="474">
        <f>SUM(E1254:E1269)</f>
        <v>44950</v>
      </c>
      <c r="F1270" s="474">
        <f>ROUNDDOWN(SUM(F1254:F1269),0)</f>
        <v>58500</v>
      </c>
      <c r="G1270" s="474" t="e">
        <f>SUM(#REF!)</f>
        <v>#REF!</v>
      </c>
      <c r="H1270" s="474" t="e">
        <f>SUM(#REF!)</f>
        <v>#REF!</v>
      </c>
      <c r="I1270" s="474">
        <f>SUM(I1254:I1269)</f>
        <v>40000</v>
      </c>
      <c r="J1270" s="474">
        <f>SUM(J1254:J1269)</f>
        <v>108000</v>
      </c>
      <c r="K1270" s="476" t="s">
        <v>63</v>
      </c>
      <c r="L1270" s="540" t="s">
        <v>689</v>
      </c>
    </row>
    <row r="1271" spans="1:16" ht="25.2" customHeight="1" x14ac:dyDescent="0.4">
      <c r="A1271" s="646" t="s">
        <v>18</v>
      </c>
      <c r="B1271" s="646"/>
      <c r="C1271" s="647">
        <f>C1270+D1270+E1270+F1270+I1270+J1270</f>
        <v>301450</v>
      </c>
      <c r="D1271" s="647"/>
      <c r="E1271" s="647"/>
      <c r="F1271" s="647"/>
      <c r="G1271" s="647"/>
      <c r="H1271" s="647"/>
      <c r="I1271" s="647"/>
      <c r="J1271" s="647"/>
      <c r="K1271" s="481"/>
      <c r="L1271" s="539"/>
    </row>
    <row r="1274" spans="1:16" ht="25.2" customHeight="1" x14ac:dyDescent="0.4">
      <c r="A1274" s="471" t="s">
        <v>0</v>
      </c>
      <c r="B1274" s="471" t="s">
        <v>1</v>
      </c>
      <c r="C1274" s="471" t="s">
        <v>4</v>
      </c>
      <c r="D1274" s="471" t="s">
        <v>287</v>
      </c>
      <c r="E1274" s="471" t="s">
        <v>74</v>
      </c>
      <c r="F1274" s="471" t="s">
        <v>3</v>
      </c>
      <c r="G1274" s="471" t="s">
        <v>4</v>
      </c>
      <c r="H1274" s="471" t="s">
        <v>5</v>
      </c>
      <c r="I1274" s="471" t="s">
        <v>6</v>
      </c>
      <c r="J1274" s="471" t="s">
        <v>7</v>
      </c>
      <c r="K1274" s="471" t="s">
        <v>60</v>
      </c>
      <c r="L1274" s="471" t="s">
        <v>8</v>
      </c>
      <c r="O1274" s="43">
        <v>1421.44</v>
      </c>
      <c r="P1274" s="43"/>
    </row>
    <row r="1275" spans="1:16" ht="25.2" customHeight="1" x14ac:dyDescent="0.4">
      <c r="A1275" s="642">
        <v>45617</v>
      </c>
      <c r="B1275" s="544" t="s">
        <v>390</v>
      </c>
      <c r="C1275" s="473"/>
      <c r="D1275" s="473"/>
      <c r="E1275" s="474">
        <f>1500+1800</f>
        <v>3300</v>
      </c>
      <c r="F1275" s="475"/>
      <c r="G1275" s="474"/>
      <c r="H1275" s="474"/>
      <c r="I1275" s="473"/>
      <c r="J1275" s="473"/>
      <c r="K1275" s="476" t="s">
        <v>693</v>
      </c>
      <c r="L1275" s="477" t="s">
        <v>690</v>
      </c>
      <c r="O1275" s="43"/>
    </row>
    <row r="1276" spans="1:16" ht="24.6" customHeight="1" x14ac:dyDescent="0.4">
      <c r="A1276" s="644"/>
      <c r="B1276" s="544" t="s">
        <v>390</v>
      </c>
      <c r="C1276" s="473"/>
      <c r="D1276" s="473"/>
      <c r="E1276" s="474"/>
      <c r="F1276" s="475">
        <f>O1276*N1276/9</f>
        <v>9800</v>
      </c>
      <c r="G1276" s="474"/>
      <c r="H1276" s="474"/>
      <c r="I1276" s="473"/>
      <c r="J1276" s="473"/>
      <c r="K1276" s="476" t="s">
        <v>63</v>
      </c>
      <c r="L1276" s="542" t="s">
        <v>671</v>
      </c>
      <c r="N1276" s="1">
        <v>62.049752363800089</v>
      </c>
      <c r="O1276" s="366">
        <f>O1274</f>
        <v>1421.44</v>
      </c>
    </row>
    <row r="1277" spans="1:16" ht="25.2" customHeight="1" x14ac:dyDescent="0.4">
      <c r="A1277" s="645" t="s">
        <v>17</v>
      </c>
      <c r="B1277" s="645"/>
      <c r="C1277" s="474">
        <f>SUM(C1275:C1276)</f>
        <v>0</v>
      </c>
      <c r="D1277" s="474">
        <f>SUM(D1275:D1276)</f>
        <v>0</v>
      </c>
      <c r="E1277" s="474">
        <f>SUM(E1275:E1276)</f>
        <v>3300</v>
      </c>
      <c r="F1277" s="474">
        <f>ROUNDDOWN(SUM(F1275:F1276),0)</f>
        <v>9800</v>
      </c>
      <c r="G1277" s="474" t="e">
        <f>SUM(#REF!)</f>
        <v>#REF!</v>
      </c>
      <c r="H1277" s="474" t="e">
        <f>SUM(#REF!)</f>
        <v>#REF!</v>
      </c>
      <c r="I1277" s="474">
        <f>SUM(I1275:I1276)</f>
        <v>0</v>
      </c>
      <c r="J1277" s="474">
        <f>SUM(J1275:J1276)</f>
        <v>0</v>
      </c>
      <c r="K1277" s="476" t="s">
        <v>63</v>
      </c>
      <c r="L1277" s="542" t="s">
        <v>689</v>
      </c>
    </row>
    <row r="1278" spans="1:16" ht="25.2" customHeight="1" x14ac:dyDescent="0.4">
      <c r="A1278" s="646" t="s">
        <v>18</v>
      </c>
      <c r="B1278" s="646"/>
      <c r="C1278" s="647">
        <f>C1277+D1277+E1277+F1277+I1277+J1277</f>
        <v>13100</v>
      </c>
      <c r="D1278" s="647"/>
      <c r="E1278" s="647"/>
      <c r="F1278" s="647"/>
      <c r="G1278" s="647"/>
      <c r="H1278" s="647"/>
      <c r="I1278" s="647"/>
      <c r="J1278" s="647"/>
      <c r="K1278" s="481"/>
      <c r="L1278" s="543"/>
    </row>
    <row r="1281" spans="1:16" ht="25.2" customHeight="1" x14ac:dyDescent="0.4">
      <c r="A1281" s="471" t="s">
        <v>0</v>
      </c>
      <c r="B1281" s="471" t="s">
        <v>1</v>
      </c>
      <c r="C1281" s="471" t="s">
        <v>255</v>
      </c>
      <c r="D1281" s="471" t="s">
        <v>287</v>
      </c>
      <c r="E1281" s="471" t="s">
        <v>74</v>
      </c>
      <c r="F1281" s="471" t="s">
        <v>3</v>
      </c>
      <c r="G1281" s="471" t="s">
        <v>4</v>
      </c>
      <c r="H1281" s="471" t="s">
        <v>5</v>
      </c>
      <c r="I1281" s="471" t="s">
        <v>6</v>
      </c>
      <c r="J1281" s="471" t="s">
        <v>7</v>
      </c>
      <c r="K1281" s="471" t="s">
        <v>60</v>
      </c>
      <c r="L1281" s="471" t="s">
        <v>8</v>
      </c>
      <c r="O1281" s="43">
        <v>1421.44</v>
      </c>
      <c r="P1281" s="43"/>
    </row>
    <row r="1282" spans="1:16" ht="25.2" customHeight="1" x14ac:dyDescent="0.4">
      <c r="A1282" s="642">
        <v>45621</v>
      </c>
      <c r="B1282" s="547" t="s">
        <v>390</v>
      </c>
      <c r="C1282" s="473"/>
      <c r="D1282" s="473"/>
      <c r="E1282" s="474">
        <f>1500+1800</f>
        <v>3300</v>
      </c>
      <c r="F1282" s="475"/>
      <c r="G1282" s="474"/>
      <c r="H1282" s="474"/>
      <c r="I1282" s="473"/>
      <c r="J1282" s="473"/>
      <c r="K1282" s="476" t="s">
        <v>61</v>
      </c>
      <c r="L1282" s="477" t="s">
        <v>695</v>
      </c>
      <c r="O1282" s="43"/>
    </row>
    <row r="1283" spans="1:16" ht="24.6" customHeight="1" x14ac:dyDescent="0.4">
      <c r="A1283" s="644"/>
      <c r="B1283" s="547" t="s">
        <v>390</v>
      </c>
      <c r="C1283" s="473"/>
      <c r="D1283" s="473"/>
      <c r="E1283" s="474"/>
      <c r="F1283" s="475">
        <f>O1283*N1283/9</f>
        <v>9800</v>
      </c>
      <c r="G1283" s="474"/>
      <c r="H1283" s="474"/>
      <c r="I1283" s="473"/>
      <c r="J1283" s="473"/>
      <c r="K1283" s="476" t="s">
        <v>63</v>
      </c>
      <c r="L1283" s="545" t="s">
        <v>694</v>
      </c>
      <c r="N1283" s="1">
        <v>62.049752363800089</v>
      </c>
      <c r="O1283" s="366">
        <f>O1281</f>
        <v>1421.44</v>
      </c>
    </row>
    <row r="1284" spans="1:16" ht="25.2" customHeight="1" x14ac:dyDescent="0.4">
      <c r="A1284" s="642">
        <v>45622</v>
      </c>
      <c r="B1284" s="547" t="s">
        <v>390</v>
      </c>
      <c r="C1284" s="473"/>
      <c r="D1284" s="473"/>
      <c r="E1284" s="474">
        <f>10000+750</f>
        <v>10750</v>
      </c>
      <c r="F1284" s="475"/>
      <c r="G1284" s="474"/>
      <c r="H1284" s="474"/>
      <c r="I1284" s="473"/>
      <c r="J1284" s="473"/>
      <c r="K1284" s="476" t="s">
        <v>91</v>
      </c>
      <c r="L1284" s="477" t="s">
        <v>697</v>
      </c>
      <c r="O1284" s="43"/>
    </row>
    <row r="1285" spans="1:16" ht="25.2" customHeight="1" x14ac:dyDescent="0.4">
      <c r="A1285" s="643"/>
      <c r="B1285" s="547" t="s">
        <v>390</v>
      </c>
      <c r="C1285" s="473">
        <v>50000</v>
      </c>
      <c r="D1285" s="473"/>
      <c r="E1285" s="474"/>
      <c r="F1285" s="475"/>
      <c r="G1285" s="474"/>
      <c r="H1285" s="474"/>
      <c r="I1285" s="473"/>
      <c r="J1285" s="473"/>
      <c r="K1285" s="476" t="s">
        <v>84</v>
      </c>
      <c r="L1285" s="477" t="s">
        <v>698</v>
      </c>
      <c r="O1285" s="43"/>
    </row>
    <row r="1286" spans="1:16" ht="25.2" customHeight="1" x14ac:dyDescent="0.4">
      <c r="A1286" s="643"/>
      <c r="B1286" s="547" t="s">
        <v>390</v>
      </c>
      <c r="C1286" s="473"/>
      <c r="D1286" s="473"/>
      <c r="E1286" s="474"/>
      <c r="F1286" s="475"/>
      <c r="G1286" s="474"/>
      <c r="H1286" s="474"/>
      <c r="I1286" s="473"/>
      <c r="J1286" s="473">
        <v>27000</v>
      </c>
      <c r="K1286" s="476"/>
      <c r="L1286" s="477" t="s">
        <v>696</v>
      </c>
      <c r="O1286" s="43"/>
    </row>
    <row r="1287" spans="1:16" ht="25.2" customHeight="1" x14ac:dyDescent="0.4">
      <c r="A1287" s="643"/>
      <c r="B1287" s="547" t="s">
        <v>390</v>
      </c>
      <c r="C1287" s="473"/>
      <c r="D1287" s="473"/>
      <c r="E1287" s="474"/>
      <c r="F1287" s="475"/>
      <c r="G1287" s="474"/>
      <c r="H1287" s="474"/>
      <c r="I1287" s="473">
        <v>10000</v>
      </c>
      <c r="J1287" s="473"/>
      <c r="K1287" s="476"/>
      <c r="L1287" s="477" t="s">
        <v>668</v>
      </c>
      <c r="O1287" s="43"/>
    </row>
    <row r="1288" spans="1:16" ht="24.6" customHeight="1" x14ac:dyDescent="0.4">
      <c r="A1288" s="644"/>
      <c r="B1288" s="547" t="s">
        <v>390</v>
      </c>
      <c r="C1288" s="473"/>
      <c r="D1288" s="473"/>
      <c r="E1288" s="474"/>
      <c r="F1288" s="475">
        <f>O1288*N1288/9</f>
        <v>14500</v>
      </c>
      <c r="G1288" s="474"/>
      <c r="H1288" s="474"/>
      <c r="I1288" s="473"/>
      <c r="J1288" s="473"/>
      <c r="K1288" s="476" t="s">
        <v>63</v>
      </c>
      <c r="L1288" s="545" t="s">
        <v>671</v>
      </c>
      <c r="N1288" s="1">
        <v>91.808307068887885</v>
      </c>
      <c r="O1288" s="366">
        <f>O1281</f>
        <v>1421.44</v>
      </c>
    </row>
    <row r="1289" spans="1:16" ht="25.2" customHeight="1" x14ac:dyDescent="0.4">
      <c r="A1289" s="642">
        <v>45623</v>
      </c>
      <c r="B1289" s="547" t="s">
        <v>390</v>
      </c>
      <c r="C1289" s="473"/>
      <c r="D1289" s="473"/>
      <c r="E1289" s="474"/>
      <c r="F1289" s="475"/>
      <c r="G1289" s="474"/>
      <c r="H1289" s="474"/>
      <c r="I1289" s="473"/>
      <c r="J1289" s="473"/>
      <c r="K1289" s="476"/>
      <c r="L1289" s="477" t="s">
        <v>674</v>
      </c>
      <c r="O1289" s="43"/>
    </row>
    <row r="1290" spans="1:16" ht="25.2" customHeight="1" x14ac:dyDescent="0.4">
      <c r="A1290" s="643"/>
      <c r="B1290" s="547" t="s">
        <v>390</v>
      </c>
      <c r="C1290" s="473">
        <v>50000</v>
      </c>
      <c r="D1290" s="473"/>
      <c r="E1290" s="474"/>
      <c r="F1290" s="475"/>
      <c r="G1290" s="474"/>
      <c r="H1290" s="474"/>
      <c r="I1290" s="473"/>
      <c r="J1290" s="473"/>
      <c r="K1290" s="476" t="s">
        <v>699</v>
      </c>
      <c r="L1290" s="477" t="s">
        <v>698</v>
      </c>
      <c r="O1290" s="43"/>
    </row>
    <row r="1291" spans="1:16" ht="25.2" customHeight="1" x14ac:dyDescent="0.4">
      <c r="A1291" s="643"/>
      <c r="B1291" s="547" t="s">
        <v>390</v>
      </c>
      <c r="C1291" s="473"/>
      <c r="D1291" s="473"/>
      <c r="E1291" s="474"/>
      <c r="F1291" s="475"/>
      <c r="G1291" s="474"/>
      <c r="H1291" s="474"/>
      <c r="I1291" s="473"/>
      <c r="J1291" s="473">
        <v>27000</v>
      </c>
      <c r="K1291" s="476"/>
      <c r="L1291" s="477" t="s">
        <v>696</v>
      </c>
      <c r="O1291" s="43"/>
    </row>
    <row r="1292" spans="1:16" ht="25.2" customHeight="1" x14ac:dyDescent="0.4">
      <c r="A1292" s="643"/>
      <c r="B1292" s="547" t="s">
        <v>390</v>
      </c>
      <c r="C1292" s="473"/>
      <c r="D1292" s="473"/>
      <c r="E1292" s="474"/>
      <c r="F1292" s="475"/>
      <c r="G1292" s="474"/>
      <c r="H1292" s="474"/>
      <c r="I1292" s="473">
        <v>10000</v>
      </c>
      <c r="J1292" s="473"/>
      <c r="K1292" s="476"/>
      <c r="L1292" s="477" t="s">
        <v>668</v>
      </c>
      <c r="O1292" s="43"/>
    </row>
    <row r="1293" spans="1:16" ht="24.6" customHeight="1" x14ac:dyDescent="0.4">
      <c r="A1293" s="644"/>
      <c r="B1293" s="547" t="s">
        <v>390</v>
      </c>
      <c r="C1293" s="473"/>
      <c r="D1293" s="473"/>
      <c r="E1293" s="474"/>
      <c r="F1293" s="475">
        <f>O1293*N1293/9</f>
        <v>0</v>
      </c>
      <c r="G1293" s="474"/>
      <c r="H1293" s="474"/>
      <c r="I1293" s="473"/>
      <c r="J1293" s="473"/>
      <c r="K1293" s="476" t="s">
        <v>63</v>
      </c>
      <c r="L1293" s="545" t="s">
        <v>670</v>
      </c>
      <c r="N1293" s="1">
        <v>0</v>
      </c>
      <c r="O1293" s="366">
        <f>O1281</f>
        <v>1421.44</v>
      </c>
    </row>
    <row r="1294" spans="1:16" ht="25.2" customHeight="1" x14ac:dyDescent="0.4">
      <c r="A1294" s="642">
        <v>45624</v>
      </c>
      <c r="B1294" s="547" t="s">
        <v>390</v>
      </c>
      <c r="C1294" s="473"/>
      <c r="D1294" s="473"/>
      <c r="E1294" s="474">
        <f>10000+750</f>
        <v>10750</v>
      </c>
      <c r="F1294" s="475"/>
      <c r="G1294" s="474"/>
      <c r="H1294" s="474"/>
      <c r="I1294" s="473"/>
      <c r="J1294" s="473"/>
      <c r="K1294" s="476" t="s">
        <v>700</v>
      </c>
      <c r="L1294" s="477" t="s">
        <v>701</v>
      </c>
      <c r="O1294" s="43"/>
    </row>
    <row r="1295" spans="1:16" ht="25.2" customHeight="1" x14ac:dyDescent="0.4">
      <c r="A1295" s="643"/>
      <c r="B1295" s="547" t="s">
        <v>390</v>
      </c>
      <c r="C1295" s="473"/>
      <c r="D1295" s="473"/>
      <c r="E1295" s="474"/>
      <c r="F1295" s="475"/>
      <c r="G1295" s="474"/>
      <c r="H1295" s="474"/>
      <c r="I1295" s="473"/>
      <c r="J1295" s="473">
        <v>27000</v>
      </c>
      <c r="K1295" s="476"/>
      <c r="L1295" s="477" t="s">
        <v>696</v>
      </c>
      <c r="O1295" s="43"/>
    </row>
    <row r="1296" spans="1:16" ht="25.2" customHeight="1" x14ac:dyDescent="0.4">
      <c r="A1296" s="643"/>
      <c r="B1296" s="547" t="s">
        <v>390</v>
      </c>
      <c r="C1296" s="473"/>
      <c r="D1296" s="473"/>
      <c r="E1296" s="474"/>
      <c r="F1296" s="475"/>
      <c r="G1296" s="474"/>
      <c r="H1296" s="474"/>
      <c r="I1296" s="473">
        <v>10000</v>
      </c>
      <c r="J1296" s="473"/>
      <c r="K1296" s="476"/>
      <c r="L1296" s="477" t="s">
        <v>668</v>
      </c>
      <c r="O1296" s="43"/>
    </row>
    <row r="1297" spans="1:16" ht="24.6" customHeight="1" x14ac:dyDescent="0.4">
      <c r="A1297" s="644"/>
      <c r="B1297" s="547" t="s">
        <v>390</v>
      </c>
      <c r="C1297" s="473"/>
      <c r="D1297" s="473"/>
      <c r="E1297" s="474"/>
      <c r="F1297" s="475">
        <f>O1297*N1297/9</f>
        <v>29500</v>
      </c>
      <c r="G1297" s="474"/>
      <c r="H1297" s="474"/>
      <c r="I1297" s="473"/>
      <c r="J1297" s="473"/>
      <c r="K1297" s="476" t="s">
        <v>63</v>
      </c>
      <c r="L1297" s="545" t="s">
        <v>671</v>
      </c>
      <c r="N1297" s="1">
        <v>186.78241782980641</v>
      </c>
      <c r="O1297" s="366">
        <f>O1281</f>
        <v>1421.44</v>
      </c>
    </row>
    <row r="1298" spans="1:16" ht="25.2" customHeight="1" x14ac:dyDescent="0.4">
      <c r="A1298" s="645" t="s">
        <v>17</v>
      </c>
      <c r="B1298" s="645"/>
      <c r="C1298" s="474">
        <f>SUM(C1282:C1297)</f>
        <v>100000</v>
      </c>
      <c r="D1298" s="474">
        <f>SUM(D1282:D1297)</f>
        <v>0</v>
      </c>
      <c r="E1298" s="474">
        <f>SUM(E1282:E1297)</f>
        <v>24800</v>
      </c>
      <c r="F1298" s="474">
        <f>ROUNDDOWN(SUM(F1282:F1297),0)</f>
        <v>53800</v>
      </c>
      <c r="G1298" s="474" t="e">
        <f>SUM(#REF!)</f>
        <v>#REF!</v>
      </c>
      <c r="H1298" s="474" t="e">
        <f>SUM(#REF!)</f>
        <v>#REF!</v>
      </c>
      <c r="I1298" s="474">
        <f>SUM(I1282:I1297)</f>
        <v>30000</v>
      </c>
      <c r="J1298" s="474">
        <f>SUM(J1282:J1297)</f>
        <v>81000</v>
      </c>
      <c r="K1298" s="476" t="s">
        <v>63</v>
      </c>
      <c r="L1298" s="545" t="s">
        <v>689</v>
      </c>
    </row>
    <row r="1299" spans="1:16" ht="25.2" customHeight="1" x14ac:dyDescent="0.4">
      <c r="A1299" s="646" t="s">
        <v>18</v>
      </c>
      <c r="B1299" s="646"/>
      <c r="C1299" s="647">
        <f>C1298+D1298+E1298+F1298+I1298+J1298</f>
        <v>289600</v>
      </c>
      <c r="D1299" s="647"/>
      <c r="E1299" s="647"/>
      <c r="F1299" s="647"/>
      <c r="G1299" s="647"/>
      <c r="H1299" s="647"/>
      <c r="I1299" s="647"/>
      <c r="J1299" s="647"/>
      <c r="K1299" s="481"/>
      <c r="L1299" s="546"/>
    </row>
    <row r="1300" spans="1:16" ht="25.2" customHeight="1" x14ac:dyDescent="0.4">
      <c r="O1300" s="43"/>
    </row>
    <row r="1301" spans="1:16" ht="25.2" customHeight="1" x14ac:dyDescent="0.4">
      <c r="A1301" s="471" t="s">
        <v>0</v>
      </c>
      <c r="B1301" s="471" t="s">
        <v>1</v>
      </c>
      <c r="C1301" s="471" t="s">
        <v>4</v>
      </c>
      <c r="D1301" s="471" t="s">
        <v>287</v>
      </c>
      <c r="E1301" s="471" t="s">
        <v>74</v>
      </c>
      <c r="F1301" s="471" t="s">
        <v>3</v>
      </c>
      <c r="G1301" s="471" t="s">
        <v>4</v>
      </c>
      <c r="H1301" s="471" t="s">
        <v>5</v>
      </c>
      <c r="I1301" s="471" t="s">
        <v>6</v>
      </c>
      <c r="J1301" s="471" t="s">
        <v>7</v>
      </c>
      <c r="K1301" s="471" t="s">
        <v>60</v>
      </c>
      <c r="L1301" s="471" t="s">
        <v>8</v>
      </c>
      <c r="O1301" s="43">
        <v>1461.04</v>
      </c>
      <c r="P1301" s="43"/>
    </row>
    <row r="1302" spans="1:16" ht="25.2" customHeight="1" x14ac:dyDescent="0.4">
      <c r="A1302" s="642">
        <v>45629</v>
      </c>
      <c r="B1302" s="550" t="s">
        <v>390</v>
      </c>
      <c r="C1302" s="473"/>
      <c r="D1302" s="473"/>
      <c r="E1302" s="474">
        <f>1200+750+10000+10000</f>
        <v>21950</v>
      </c>
      <c r="F1302" s="475"/>
      <c r="G1302" s="474"/>
      <c r="H1302" s="474"/>
      <c r="I1302" s="473"/>
      <c r="J1302" s="473"/>
      <c r="K1302" s="476" t="s">
        <v>693</v>
      </c>
      <c r="L1302" s="477" t="s">
        <v>690</v>
      </c>
      <c r="O1302" s="43"/>
    </row>
    <row r="1303" spans="1:16" ht="25.2" customHeight="1" x14ac:dyDescent="0.4">
      <c r="A1303" s="643"/>
      <c r="B1303" s="550" t="s">
        <v>390</v>
      </c>
      <c r="C1303" s="473"/>
      <c r="D1303" s="473"/>
      <c r="E1303" s="474"/>
      <c r="F1303" s="475"/>
      <c r="G1303" s="474"/>
      <c r="H1303" s="474"/>
      <c r="I1303" s="473"/>
      <c r="J1303" s="473">
        <v>27000</v>
      </c>
      <c r="K1303" s="476"/>
      <c r="L1303" s="477" t="s">
        <v>440</v>
      </c>
      <c r="O1303" s="43"/>
    </row>
    <row r="1304" spans="1:16" ht="25.2" customHeight="1" x14ac:dyDescent="0.4">
      <c r="A1304" s="643"/>
      <c r="B1304" s="550" t="s">
        <v>390</v>
      </c>
      <c r="C1304" s="473"/>
      <c r="D1304" s="473"/>
      <c r="E1304" s="474"/>
      <c r="F1304" s="475"/>
      <c r="G1304" s="474"/>
      <c r="H1304" s="474"/>
      <c r="I1304" s="473">
        <v>0</v>
      </c>
      <c r="J1304" s="473"/>
      <c r="K1304" s="476"/>
      <c r="L1304" s="477" t="s">
        <v>668</v>
      </c>
      <c r="O1304" s="43"/>
    </row>
    <row r="1305" spans="1:16" ht="24.6" customHeight="1" x14ac:dyDescent="0.4">
      <c r="A1305" s="644"/>
      <c r="B1305" s="550" t="s">
        <v>390</v>
      </c>
      <c r="C1305" s="473"/>
      <c r="D1305" s="473"/>
      <c r="E1305" s="474"/>
      <c r="F1305" s="475">
        <f>O1305*N1305/9</f>
        <v>30550</v>
      </c>
      <c r="G1305" s="474"/>
      <c r="H1305" s="474"/>
      <c r="I1305" s="473"/>
      <c r="J1305" s="473"/>
      <c r="K1305" s="476" t="s">
        <v>63</v>
      </c>
      <c r="L1305" s="548" t="s">
        <v>702</v>
      </c>
      <c r="N1305" s="1">
        <v>188.18786617751738</v>
      </c>
      <c r="O1305" s="366">
        <f>O1301</f>
        <v>1461.04</v>
      </c>
    </row>
    <row r="1306" spans="1:16" ht="25.2" customHeight="1" x14ac:dyDescent="0.4">
      <c r="A1306" s="645" t="s">
        <v>17</v>
      </c>
      <c r="B1306" s="645"/>
      <c r="C1306" s="474">
        <f>SUM(C1302:C1305)</f>
        <v>0</v>
      </c>
      <c r="D1306" s="474">
        <f>SUM(D1302:D1305)</f>
        <v>0</v>
      </c>
      <c r="E1306" s="474">
        <f>SUM(E1302:E1305)</f>
        <v>21950</v>
      </c>
      <c r="F1306" s="474">
        <f>ROUNDDOWN(SUM(F1302:F1305),0)</f>
        <v>30550</v>
      </c>
      <c r="G1306" s="474" t="e">
        <f>SUM(#REF!)</f>
        <v>#REF!</v>
      </c>
      <c r="H1306" s="474" t="e">
        <f>SUM(#REF!)</f>
        <v>#REF!</v>
      </c>
      <c r="I1306" s="474">
        <f>SUM(I1302:I1305)</f>
        <v>0</v>
      </c>
      <c r="J1306" s="474">
        <f>SUM(J1302:J1305)</f>
        <v>27000</v>
      </c>
      <c r="K1306" s="476" t="s">
        <v>63</v>
      </c>
      <c r="L1306" s="548" t="s">
        <v>703</v>
      </c>
    </row>
    <row r="1307" spans="1:16" ht="25.2" customHeight="1" x14ac:dyDescent="0.4">
      <c r="A1307" s="646" t="s">
        <v>18</v>
      </c>
      <c r="B1307" s="646"/>
      <c r="C1307" s="647">
        <f>C1306+D1306+E1306+F1306+I1306+J1306</f>
        <v>79500</v>
      </c>
      <c r="D1307" s="647"/>
      <c r="E1307" s="647"/>
      <c r="F1307" s="647"/>
      <c r="G1307" s="647"/>
      <c r="H1307" s="647"/>
      <c r="I1307" s="647"/>
      <c r="J1307" s="647"/>
      <c r="K1307" s="481"/>
      <c r="L1307" s="549"/>
    </row>
    <row r="1309" spans="1:16" ht="25.2" customHeight="1" x14ac:dyDescent="0.4">
      <c r="A1309" s="471" t="s">
        <v>0</v>
      </c>
      <c r="B1309" s="471" t="s">
        <v>1</v>
      </c>
      <c r="C1309" s="471" t="s">
        <v>4</v>
      </c>
      <c r="D1309" s="471" t="s">
        <v>287</v>
      </c>
      <c r="E1309" s="471" t="s">
        <v>74</v>
      </c>
      <c r="F1309" s="471" t="s">
        <v>3</v>
      </c>
      <c r="G1309" s="471" t="s">
        <v>4</v>
      </c>
      <c r="H1309" s="471" t="s">
        <v>5</v>
      </c>
      <c r="I1309" s="471" t="s">
        <v>6</v>
      </c>
      <c r="J1309" s="471" t="s">
        <v>7</v>
      </c>
      <c r="K1309" s="471" t="s">
        <v>60</v>
      </c>
      <c r="L1309" s="471" t="s">
        <v>8</v>
      </c>
      <c r="O1309" s="43">
        <v>1461.04</v>
      </c>
      <c r="P1309" s="43"/>
    </row>
    <row r="1310" spans="1:16" ht="25.2" customHeight="1" x14ac:dyDescent="0.4">
      <c r="A1310" s="642">
        <v>45631</v>
      </c>
      <c r="B1310" s="553" t="s">
        <v>390</v>
      </c>
      <c r="C1310" s="473"/>
      <c r="D1310" s="473"/>
      <c r="E1310" s="474">
        <f>750+750+10000+10000</f>
        <v>21500</v>
      </c>
      <c r="F1310" s="475"/>
      <c r="G1310" s="474"/>
      <c r="H1310" s="474"/>
      <c r="I1310" s="473"/>
      <c r="J1310" s="473"/>
      <c r="K1310" s="476" t="s">
        <v>693</v>
      </c>
      <c r="L1310" s="477" t="s">
        <v>690</v>
      </c>
      <c r="O1310" s="43"/>
    </row>
    <row r="1311" spans="1:16" ht="25.2" customHeight="1" x14ac:dyDescent="0.4">
      <c r="A1311" s="643"/>
      <c r="B1311" s="553" t="s">
        <v>390</v>
      </c>
      <c r="C1311" s="473"/>
      <c r="D1311" s="473"/>
      <c r="E1311" s="474"/>
      <c r="F1311" s="475"/>
      <c r="G1311" s="474"/>
      <c r="H1311" s="474"/>
      <c r="I1311" s="473"/>
      <c r="J1311" s="473">
        <v>5500</v>
      </c>
      <c r="K1311" s="476" t="s">
        <v>707</v>
      </c>
      <c r="L1311" s="477" t="s">
        <v>704</v>
      </c>
      <c r="O1311" s="43"/>
    </row>
    <row r="1312" spans="1:16" ht="25.2" customHeight="1" x14ac:dyDescent="0.4">
      <c r="A1312" s="643"/>
      <c r="B1312" s="553"/>
      <c r="C1312" s="473"/>
      <c r="D1312" s="473"/>
      <c r="E1312" s="474"/>
      <c r="F1312" s="475"/>
      <c r="G1312" s="474"/>
      <c r="H1312" s="474"/>
      <c r="I1312" s="473"/>
      <c r="J1312" s="473">
        <v>39000</v>
      </c>
      <c r="K1312" s="476" t="s">
        <v>708</v>
      </c>
      <c r="L1312" s="477" t="s">
        <v>705</v>
      </c>
      <c r="O1312" s="43"/>
    </row>
    <row r="1313" spans="1:16" ht="25.2" customHeight="1" x14ac:dyDescent="0.4">
      <c r="A1313" s="643"/>
      <c r="B1313" s="553"/>
      <c r="C1313" s="473"/>
      <c r="D1313" s="473"/>
      <c r="E1313" s="474"/>
      <c r="F1313" s="475"/>
      <c r="G1313" s="474"/>
      <c r="H1313" s="474"/>
      <c r="I1313" s="473"/>
      <c r="J1313" s="473">
        <v>8300</v>
      </c>
      <c r="K1313" s="476" t="s">
        <v>709</v>
      </c>
      <c r="L1313" s="477" t="s">
        <v>706</v>
      </c>
      <c r="O1313" s="43"/>
    </row>
    <row r="1314" spans="1:16" ht="25.2" customHeight="1" x14ac:dyDescent="0.4">
      <c r="A1314" s="643"/>
      <c r="B1314" s="553" t="s">
        <v>390</v>
      </c>
      <c r="C1314" s="473"/>
      <c r="D1314" s="473"/>
      <c r="E1314" s="474"/>
      <c r="F1314" s="475"/>
      <c r="G1314" s="474"/>
      <c r="H1314" s="474"/>
      <c r="I1314" s="473">
        <v>0</v>
      </c>
      <c r="J1314" s="473"/>
      <c r="K1314" s="476"/>
      <c r="L1314" s="477" t="s">
        <v>668</v>
      </c>
      <c r="O1314" s="43"/>
    </row>
    <row r="1315" spans="1:16" ht="24.6" customHeight="1" x14ac:dyDescent="0.4">
      <c r="A1315" s="644"/>
      <c r="B1315" s="553" t="s">
        <v>390</v>
      </c>
      <c r="C1315" s="473"/>
      <c r="D1315" s="473"/>
      <c r="E1315" s="474"/>
      <c r="F1315" s="475">
        <f>O1315*N1315/9</f>
        <v>30550</v>
      </c>
      <c r="G1315" s="474"/>
      <c r="H1315" s="474"/>
      <c r="I1315" s="473"/>
      <c r="J1315" s="473"/>
      <c r="K1315" s="476" t="s">
        <v>63</v>
      </c>
      <c r="L1315" s="551" t="s">
        <v>702</v>
      </c>
      <c r="N1315" s="1">
        <v>188.18786617751738</v>
      </c>
      <c r="O1315" s="366">
        <f>O1309</f>
        <v>1461.04</v>
      </c>
    </row>
    <row r="1316" spans="1:16" ht="25.2" customHeight="1" x14ac:dyDescent="0.4">
      <c r="A1316" s="645" t="s">
        <v>17</v>
      </c>
      <c r="B1316" s="645"/>
      <c r="C1316" s="474">
        <f>SUM(C1310:C1315)</f>
        <v>0</v>
      </c>
      <c r="D1316" s="474">
        <f>SUM(D1310:D1315)</f>
        <v>0</v>
      </c>
      <c r="E1316" s="474">
        <f>SUM(E1310:E1315)</f>
        <v>21500</v>
      </c>
      <c r="F1316" s="474">
        <f>ROUNDDOWN(SUM(F1310:F1315),0)</f>
        <v>30550</v>
      </c>
      <c r="G1316" s="474" t="e">
        <f>SUM(#REF!)</f>
        <v>#REF!</v>
      </c>
      <c r="H1316" s="474" t="e">
        <f>SUM(#REF!)</f>
        <v>#REF!</v>
      </c>
      <c r="I1316" s="474">
        <f>SUM(I1310:I1315)</f>
        <v>0</v>
      </c>
      <c r="J1316" s="474">
        <f>SUM(J1310:J1315)</f>
        <v>52800</v>
      </c>
      <c r="K1316" s="476" t="s">
        <v>63</v>
      </c>
      <c r="L1316" s="551" t="s">
        <v>703</v>
      </c>
    </row>
    <row r="1317" spans="1:16" ht="25.2" customHeight="1" x14ac:dyDescent="0.4">
      <c r="A1317" s="646" t="s">
        <v>18</v>
      </c>
      <c r="B1317" s="646"/>
      <c r="C1317" s="647">
        <f>C1316+D1316+E1316+F1316+I1316+J1316</f>
        <v>104850</v>
      </c>
      <c r="D1317" s="647"/>
      <c r="E1317" s="647"/>
      <c r="F1317" s="647"/>
      <c r="G1317" s="647"/>
      <c r="H1317" s="647"/>
      <c r="I1317" s="647"/>
      <c r="J1317" s="647"/>
      <c r="K1317" s="481"/>
      <c r="L1317" s="552"/>
    </row>
    <row r="1319" spans="1:16" ht="25.2" customHeight="1" x14ac:dyDescent="0.4">
      <c r="A1319" s="471" t="s">
        <v>0</v>
      </c>
      <c r="B1319" s="471" t="s">
        <v>1</v>
      </c>
      <c r="C1319" s="471" t="s">
        <v>4</v>
      </c>
      <c r="D1319" s="471" t="s">
        <v>287</v>
      </c>
      <c r="E1319" s="471" t="s">
        <v>74</v>
      </c>
      <c r="F1319" s="471" t="s">
        <v>3</v>
      </c>
      <c r="G1319" s="471" t="s">
        <v>4</v>
      </c>
      <c r="H1319" s="471" t="s">
        <v>5</v>
      </c>
      <c r="I1319" s="471" t="s">
        <v>6</v>
      </c>
      <c r="J1319" s="471" t="s">
        <v>7</v>
      </c>
      <c r="K1319" s="471" t="s">
        <v>60</v>
      </c>
      <c r="L1319" s="471" t="s">
        <v>8</v>
      </c>
      <c r="O1319" s="43">
        <v>1461.04</v>
      </c>
      <c r="P1319" s="43"/>
    </row>
    <row r="1320" spans="1:16" ht="25.2" customHeight="1" x14ac:dyDescent="0.4">
      <c r="A1320" s="642">
        <v>45637</v>
      </c>
      <c r="B1320" s="556" t="s">
        <v>390</v>
      </c>
      <c r="C1320" s="473"/>
      <c r="D1320" s="473"/>
      <c r="E1320" s="474">
        <f>1200+1200</f>
        <v>2400</v>
      </c>
      <c r="F1320" s="475"/>
      <c r="G1320" s="474"/>
      <c r="H1320" s="474"/>
      <c r="I1320" s="473"/>
      <c r="J1320" s="473"/>
      <c r="K1320" s="476" t="s">
        <v>693</v>
      </c>
      <c r="L1320" s="477" t="s">
        <v>690</v>
      </c>
      <c r="O1320" s="43"/>
    </row>
    <row r="1321" spans="1:16" ht="24.6" customHeight="1" x14ac:dyDescent="0.4">
      <c r="A1321" s="644"/>
      <c r="B1321" s="556" t="s">
        <v>390</v>
      </c>
      <c r="C1321" s="473"/>
      <c r="D1321" s="473"/>
      <c r="E1321" s="474"/>
      <c r="F1321" s="475">
        <f>O1321*N1321/9</f>
        <v>10500</v>
      </c>
      <c r="G1321" s="474"/>
      <c r="H1321" s="474"/>
      <c r="I1321" s="473"/>
      <c r="J1321" s="473"/>
      <c r="K1321" s="476" t="s">
        <v>63</v>
      </c>
      <c r="L1321" s="554" t="s">
        <v>710</v>
      </c>
      <c r="N1321" s="1">
        <v>64.679954005366042</v>
      </c>
      <c r="O1321" s="366">
        <f>O1319</f>
        <v>1461.04</v>
      </c>
    </row>
    <row r="1322" spans="1:16" ht="25.2" customHeight="1" x14ac:dyDescent="0.4">
      <c r="A1322" s="645" t="s">
        <v>17</v>
      </c>
      <c r="B1322" s="645"/>
      <c r="C1322" s="474">
        <f>SUM(C1320:C1321)</f>
        <v>0</v>
      </c>
      <c r="D1322" s="474">
        <f>SUM(D1320:D1321)</f>
        <v>0</v>
      </c>
      <c r="E1322" s="474">
        <f>SUM(E1320:E1321)</f>
        <v>2400</v>
      </c>
      <c r="F1322" s="474">
        <f>ROUNDDOWN(SUM(F1320:F1321),0)</f>
        <v>10500</v>
      </c>
      <c r="G1322" s="474" t="e">
        <f>SUM(#REF!)</f>
        <v>#REF!</v>
      </c>
      <c r="H1322" s="474" t="e">
        <f>SUM(#REF!)</f>
        <v>#REF!</v>
      </c>
      <c r="I1322" s="474">
        <f>SUM(I1320:I1321)</f>
        <v>0</v>
      </c>
      <c r="J1322" s="474">
        <f>SUM(J1320:J1321)</f>
        <v>0</v>
      </c>
      <c r="K1322" s="476" t="s">
        <v>63</v>
      </c>
      <c r="L1322" s="554" t="s">
        <v>703</v>
      </c>
    </row>
    <row r="1323" spans="1:16" ht="25.2" customHeight="1" x14ac:dyDescent="0.4">
      <c r="A1323" s="646" t="s">
        <v>18</v>
      </c>
      <c r="B1323" s="646"/>
      <c r="C1323" s="647">
        <f>C1322+D1322+E1322+F1322+I1322+J1322</f>
        <v>12900</v>
      </c>
      <c r="D1323" s="647"/>
      <c r="E1323" s="647"/>
      <c r="F1323" s="647"/>
      <c r="G1323" s="647"/>
      <c r="H1323" s="647"/>
      <c r="I1323" s="647"/>
      <c r="J1323" s="647"/>
      <c r="K1323" s="481"/>
      <c r="L1323" s="555"/>
    </row>
    <row r="1327" spans="1:16" ht="25.2" customHeight="1" x14ac:dyDescent="0.4">
      <c r="A1327" s="471" t="s">
        <v>0</v>
      </c>
      <c r="B1327" s="471" t="s">
        <v>1</v>
      </c>
      <c r="C1327" s="471" t="s">
        <v>4</v>
      </c>
      <c r="D1327" s="471" t="s">
        <v>287</v>
      </c>
      <c r="E1327" s="471" t="s">
        <v>74</v>
      </c>
      <c r="F1327" s="471" t="s">
        <v>3</v>
      </c>
      <c r="G1327" s="471" t="s">
        <v>4</v>
      </c>
      <c r="H1327" s="471" t="s">
        <v>5</v>
      </c>
      <c r="I1327" s="471" t="s">
        <v>6</v>
      </c>
      <c r="J1327" s="471" t="s">
        <v>7</v>
      </c>
      <c r="K1327" s="471" t="s">
        <v>60</v>
      </c>
      <c r="L1327" s="471" t="s">
        <v>8</v>
      </c>
      <c r="O1327" s="43">
        <v>1461.04</v>
      </c>
      <c r="P1327" s="43"/>
    </row>
    <row r="1328" spans="1:16" ht="25.2" customHeight="1" x14ac:dyDescent="0.4">
      <c r="A1328" s="642">
        <v>45642</v>
      </c>
      <c r="B1328" s="559" t="s">
        <v>390</v>
      </c>
      <c r="C1328" s="473"/>
      <c r="D1328" s="473"/>
      <c r="E1328" s="474">
        <f>1200+750+10000+10000</f>
        <v>21950</v>
      </c>
      <c r="F1328" s="475"/>
      <c r="G1328" s="474"/>
      <c r="H1328" s="474"/>
      <c r="I1328" s="473"/>
      <c r="J1328" s="473"/>
      <c r="K1328" s="476" t="s">
        <v>693</v>
      </c>
      <c r="L1328" s="477" t="s">
        <v>711</v>
      </c>
      <c r="O1328" s="43"/>
    </row>
    <row r="1329" spans="1:16" ht="25.2" customHeight="1" x14ac:dyDescent="0.4">
      <c r="A1329" s="643"/>
      <c r="B1329" s="559" t="s">
        <v>390</v>
      </c>
      <c r="C1329" s="473"/>
      <c r="D1329" s="473"/>
      <c r="E1329" s="474"/>
      <c r="F1329" s="475"/>
      <c r="G1329" s="474"/>
      <c r="H1329" s="474"/>
      <c r="I1329" s="473"/>
      <c r="J1329" s="473">
        <v>27000</v>
      </c>
      <c r="K1329" s="476"/>
      <c r="L1329" s="477" t="s">
        <v>440</v>
      </c>
      <c r="O1329" s="43"/>
    </row>
    <row r="1330" spans="1:16" ht="25.2" customHeight="1" x14ac:dyDescent="0.4">
      <c r="A1330" s="643"/>
      <c r="B1330" s="559" t="s">
        <v>390</v>
      </c>
      <c r="C1330" s="473"/>
      <c r="D1330" s="473"/>
      <c r="E1330" s="474"/>
      <c r="F1330" s="475"/>
      <c r="G1330" s="474"/>
      <c r="H1330" s="474"/>
      <c r="I1330" s="473">
        <v>10000</v>
      </c>
      <c r="J1330" s="473"/>
      <c r="K1330" s="476"/>
      <c r="L1330" s="477" t="s">
        <v>668</v>
      </c>
      <c r="O1330" s="43"/>
    </row>
    <row r="1331" spans="1:16" ht="24.6" customHeight="1" x14ac:dyDescent="0.4">
      <c r="A1331" s="644"/>
      <c r="B1331" s="559" t="s">
        <v>390</v>
      </c>
      <c r="C1331" s="473"/>
      <c r="D1331" s="473"/>
      <c r="E1331" s="474"/>
      <c r="F1331" s="475">
        <f>O1331*N1331/9</f>
        <v>30550</v>
      </c>
      <c r="G1331" s="474"/>
      <c r="H1331" s="474"/>
      <c r="I1331" s="473"/>
      <c r="J1331" s="473"/>
      <c r="K1331" s="476" t="s">
        <v>63</v>
      </c>
      <c r="L1331" s="557" t="s">
        <v>702</v>
      </c>
      <c r="N1331" s="1">
        <v>188.18786617751738</v>
      </c>
      <c r="O1331" s="366">
        <f>O1327</f>
        <v>1461.04</v>
      </c>
    </row>
    <row r="1332" spans="1:16" ht="25.2" customHeight="1" x14ac:dyDescent="0.4">
      <c r="A1332" s="645" t="s">
        <v>17</v>
      </c>
      <c r="B1332" s="645"/>
      <c r="C1332" s="474">
        <f>SUM(C1328:C1331)</f>
        <v>0</v>
      </c>
      <c r="D1332" s="474">
        <f>SUM(D1328:D1331)</f>
        <v>0</v>
      </c>
      <c r="E1332" s="474">
        <f>SUM(E1328:E1331)</f>
        <v>21950</v>
      </c>
      <c r="F1332" s="474">
        <f>ROUNDDOWN(SUM(F1328:F1331),0)</f>
        <v>30550</v>
      </c>
      <c r="G1332" s="474" t="e">
        <f>SUM(#REF!)</f>
        <v>#REF!</v>
      </c>
      <c r="H1332" s="474" t="e">
        <f>SUM(#REF!)</f>
        <v>#REF!</v>
      </c>
      <c r="I1332" s="474">
        <f>SUM(I1328:I1331)</f>
        <v>10000</v>
      </c>
      <c r="J1332" s="474">
        <f>SUM(J1328:J1331)</f>
        <v>27000</v>
      </c>
      <c r="K1332" s="476" t="s">
        <v>63</v>
      </c>
      <c r="L1332" s="557" t="s">
        <v>703</v>
      </c>
    </row>
    <row r="1333" spans="1:16" ht="25.2" customHeight="1" x14ac:dyDescent="0.4">
      <c r="A1333" s="646" t="s">
        <v>18</v>
      </c>
      <c r="B1333" s="646"/>
      <c r="C1333" s="647">
        <f>C1332+D1332+E1332+F1332+I1332+J1332</f>
        <v>89500</v>
      </c>
      <c r="D1333" s="647"/>
      <c r="E1333" s="647"/>
      <c r="F1333" s="647"/>
      <c r="G1333" s="647"/>
      <c r="H1333" s="647"/>
      <c r="I1333" s="647"/>
      <c r="J1333" s="647"/>
      <c r="K1333" s="481"/>
      <c r="L1333" s="558"/>
    </row>
    <row r="1336" spans="1:16" ht="25.2" customHeight="1" x14ac:dyDescent="0.4">
      <c r="A1336" s="471" t="s">
        <v>0</v>
      </c>
      <c r="B1336" s="471" t="s">
        <v>1</v>
      </c>
      <c r="C1336" s="471" t="s">
        <v>4</v>
      </c>
      <c r="D1336" s="471" t="s">
        <v>287</v>
      </c>
      <c r="E1336" s="471" t="s">
        <v>74</v>
      </c>
      <c r="F1336" s="471" t="s">
        <v>3</v>
      </c>
      <c r="G1336" s="471" t="s">
        <v>4</v>
      </c>
      <c r="H1336" s="471" t="s">
        <v>5</v>
      </c>
      <c r="I1336" s="471" t="s">
        <v>6</v>
      </c>
      <c r="J1336" s="471" t="s">
        <v>7</v>
      </c>
      <c r="K1336" s="471" t="s">
        <v>60</v>
      </c>
      <c r="L1336" s="471" t="s">
        <v>8</v>
      </c>
      <c r="O1336" s="43">
        <v>1461.04</v>
      </c>
      <c r="P1336" s="43"/>
    </row>
    <row r="1337" spans="1:16" ht="25.2" customHeight="1" x14ac:dyDescent="0.4">
      <c r="A1337" s="642">
        <v>45645</v>
      </c>
      <c r="B1337" s="562" t="s">
        <v>390</v>
      </c>
      <c r="C1337" s="473"/>
      <c r="D1337" s="473"/>
      <c r="E1337" s="474">
        <f>1600+1800</f>
        <v>3400</v>
      </c>
      <c r="F1337" s="475"/>
      <c r="G1337" s="474"/>
      <c r="H1337" s="474"/>
      <c r="I1337" s="473"/>
      <c r="J1337" s="473"/>
      <c r="K1337" s="476" t="s">
        <v>693</v>
      </c>
      <c r="L1337" s="477" t="s">
        <v>711</v>
      </c>
      <c r="O1337" s="43"/>
    </row>
    <row r="1338" spans="1:16" ht="24.6" customHeight="1" x14ac:dyDescent="0.4">
      <c r="A1338" s="644"/>
      <c r="B1338" s="562" t="s">
        <v>390</v>
      </c>
      <c r="C1338" s="473"/>
      <c r="D1338" s="473"/>
      <c r="E1338" s="474"/>
      <c r="F1338" s="475">
        <f>O1338*N1338/9</f>
        <v>11000.000000000002</v>
      </c>
      <c r="G1338" s="474"/>
      <c r="H1338" s="474"/>
      <c r="I1338" s="473"/>
      <c r="J1338" s="473"/>
      <c r="K1338" s="476" t="s">
        <v>63</v>
      </c>
      <c r="L1338" s="560" t="s">
        <v>712</v>
      </c>
      <c r="N1338" s="1">
        <v>67.759951815145385</v>
      </c>
      <c r="O1338" s="366">
        <f>O1336</f>
        <v>1461.04</v>
      </c>
    </row>
    <row r="1339" spans="1:16" ht="25.2" customHeight="1" x14ac:dyDescent="0.4">
      <c r="A1339" s="642">
        <v>45646</v>
      </c>
      <c r="B1339" s="562" t="s">
        <v>390</v>
      </c>
      <c r="C1339" s="473"/>
      <c r="D1339" s="473"/>
      <c r="E1339" s="474">
        <f>1200+1500+10000+10000</f>
        <v>22700</v>
      </c>
      <c r="F1339" s="475"/>
      <c r="G1339" s="474"/>
      <c r="H1339" s="474"/>
      <c r="I1339" s="473"/>
      <c r="J1339" s="473"/>
      <c r="K1339" s="476" t="s">
        <v>713</v>
      </c>
      <c r="L1339" s="477" t="s">
        <v>711</v>
      </c>
      <c r="O1339" s="43"/>
    </row>
    <row r="1340" spans="1:16" ht="25.2" customHeight="1" x14ac:dyDescent="0.4">
      <c r="A1340" s="643"/>
      <c r="B1340" s="562" t="s">
        <v>390</v>
      </c>
      <c r="C1340" s="473"/>
      <c r="D1340" s="473"/>
      <c r="E1340" s="474"/>
      <c r="F1340" s="475"/>
      <c r="G1340" s="474"/>
      <c r="H1340" s="474"/>
      <c r="I1340" s="473"/>
      <c r="J1340" s="473">
        <v>19000</v>
      </c>
      <c r="K1340" s="476"/>
      <c r="L1340" s="477" t="s">
        <v>715</v>
      </c>
      <c r="O1340" s="43"/>
    </row>
    <row r="1341" spans="1:16" ht="25.2" customHeight="1" x14ac:dyDescent="0.4">
      <c r="A1341" s="643"/>
      <c r="B1341" s="562" t="s">
        <v>390</v>
      </c>
      <c r="C1341" s="473"/>
      <c r="D1341" s="473"/>
      <c r="E1341" s="474"/>
      <c r="F1341" s="475"/>
      <c r="G1341" s="474"/>
      <c r="H1341" s="474"/>
      <c r="I1341" s="473"/>
      <c r="J1341" s="473">
        <v>18200</v>
      </c>
      <c r="K1341" s="476"/>
      <c r="L1341" s="477" t="s">
        <v>716</v>
      </c>
      <c r="O1341" s="43"/>
    </row>
    <row r="1342" spans="1:16" ht="24.6" customHeight="1" x14ac:dyDescent="0.4">
      <c r="A1342" s="644"/>
      <c r="B1342" s="562" t="s">
        <v>390</v>
      </c>
      <c r="C1342" s="473"/>
      <c r="D1342" s="473"/>
      <c r="E1342" s="474"/>
      <c r="F1342" s="475">
        <f>O1342*N1342/9</f>
        <v>30550</v>
      </c>
      <c r="G1342" s="474"/>
      <c r="H1342" s="474"/>
      <c r="I1342" s="473"/>
      <c r="J1342" s="473"/>
      <c r="K1342" s="476" t="s">
        <v>63</v>
      </c>
      <c r="L1342" s="560" t="s">
        <v>702</v>
      </c>
      <c r="N1342" s="1">
        <v>188.18786617751738</v>
      </c>
      <c r="O1342" s="366">
        <f>O1338</f>
        <v>1461.04</v>
      </c>
    </row>
    <row r="1343" spans="1:16" ht="25.2" customHeight="1" x14ac:dyDescent="0.4">
      <c r="A1343" s="642">
        <v>45656</v>
      </c>
      <c r="B1343" s="562" t="s">
        <v>390</v>
      </c>
      <c r="C1343" s="473"/>
      <c r="D1343" s="473"/>
      <c r="E1343" s="474">
        <f>750+750+10000+10000</f>
        <v>21500</v>
      </c>
      <c r="F1343" s="475"/>
      <c r="G1343" s="474"/>
      <c r="H1343" s="474"/>
      <c r="I1343" s="473"/>
      <c r="J1343" s="473"/>
      <c r="K1343" s="476" t="s">
        <v>714</v>
      </c>
      <c r="L1343" s="477" t="s">
        <v>711</v>
      </c>
      <c r="O1343" s="43"/>
    </row>
    <row r="1344" spans="1:16" ht="25.2" customHeight="1" x14ac:dyDescent="0.4">
      <c r="A1344" s="643"/>
      <c r="B1344" s="562" t="s">
        <v>390</v>
      </c>
      <c r="C1344" s="473"/>
      <c r="D1344" s="473"/>
      <c r="E1344" s="474"/>
      <c r="F1344" s="475"/>
      <c r="G1344" s="474"/>
      <c r="H1344" s="474"/>
      <c r="I1344" s="473"/>
      <c r="J1344" s="473">
        <v>27000</v>
      </c>
      <c r="K1344" s="476"/>
      <c r="L1344" s="477" t="s">
        <v>440</v>
      </c>
      <c r="O1344" s="43"/>
    </row>
    <row r="1345" spans="1:16" ht="25.2" customHeight="1" x14ac:dyDescent="0.4">
      <c r="A1345" s="643"/>
      <c r="B1345" s="562" t="s">
        <v>390</v>
      </c>
      <c r="C1345" s="473"/>
      <c r="D1345" s="473"/>
      <c r="E1345" s="474"/>
      <c r="F1345" s="475"/>
      <c r="G1345" s="474"/>
      <c r="H1345" s="474"/>
      <c r="I1345" s="473">
        <v>10000</v>
      </c>
      <c r="J1345" s="473"/>
      <c r="K1345" s="476"/>
      <c r="L1345" s="477" t="s">
        <v>668</v>
      </c>
      <c r="O1345" s="43"/>
    </row>
    <row r="1346" spans="1:16" ht="24.6" customHeight="1" x14ac:dyDescent="0.4">
      <c r="A1346" s="644"/>
      <c r="B1346" s="562" t="s">
        <v>390</v>
      </c>
      <c r="C1346" s="473"/>
      <c r="D1346" s="473"/>
      <c r="E1346" s="474"/>
      <c r="F1346" s="475">
        <f>O1346*N1346/9</f>
        <v>30550</v>
      </c>
      <c r="G1346" s="474"/>
      <c r="H1346" s="474"/>
      <c r="I1346" s="473"/>
      <c r="J1346" s="473"/>
      <c r="K1346" s="476" t="s">
        <v>63</v>
      </c>
      <c r="L1346" s="560" t="s">
        <v>702</v>
      </c>
      <c r="N1346" s="1">
        <v>188.18786617751738</v>
      </c>
      <c r="O1346" s="366">
        <f>O1338</f>
        <v>1461.04</v>
      </c>
    </row>
    <row r="1347" spans="1:16" ht="25.2" customHeight="1" x14ac:dyDescent="0.4">
      <c r="A1347" s="645" t="s">
        <v>17</v>
      </c>
      <c r="B1347" s="645"/>
      <c r="C1347" s="474">
        <f>SUM(C1337:C1346)</f>
        <v>0</v>
      </c>
      <c r="D1347" s="474">
        <f>SUM(D1337:D1346)</f>
        <v>0</v>
      </c>
      <c r="E1347" s="474">
        <f>SUM(E1337:E1346)</f>
        <v>47600</v>
      </c>
      <c r="F1347" s="474">
        <f>ROUNDDOWN(SUM(F1337:F1346),0)</f>
        <v>72100</v>
      </c>
      <c r="G1347" s="474" t="e">
        <f>SUM(#REF!)</f>
        <v>#REF!</v>
      </c>
      <c r="H1347" s="474" t="e">
        <f>SUM(#REF!)</f>
        <v>#REF!</v>
      </c>
      <c r="I1347" s="474">
        <f>SUM(I1337:I1346)</f>
        <v>10000</v>
      </c>
      <c r="J1347" s="474">
        <f>SUM(J1337:J1346)</f>
        <v>64200</v>
      </c>
      <c r="K1347" s="476" t="s">
        <v>63</v>
      </c>
      <c r="L1347" s="560" t="s">
        <v>703</v>
      </c>
    </row>
    <row r="1348" spans="1:16" ht="25.2" customHeight="1" x14ac:dyDescent="0.4">
      <c r="A1348" s="646" t="s">
        <v>18</v>
      </c>
      <c r="B1348" s="646"/>
      <c r="C1348" s="647">
        <f>C1347+D1347+E1347+F1347+I1347+J1347</f>
        <v>193900</v>
      </c>
      <c r="D1348" s="647"/>
      <c r="E1348" s="647"/>
      <c r="F1348" s="647"/>
      <c r="G1348" s="647"/>
      <c r="H1348" s="647"/>
      <c r="I1348" s="647"/>
      <c r="J1348" s="647"/>
      <c r="K1348" s="481"/>
      <c r="L1348" s="561"/>
    </row>
    <row r="1350" spans="1:16" ht="25.2" customHeight="1" x14ac:dyDescent="0.4">
      <c r="O1350" s="43"/>
    </row>
    <row r="1351" spans="1:16" ht="25.2" customHeight="1" x14ac:dyDescent="0.4">
      <c r="A1351" s="471" t="s">
        <v>0</v>
      </c>
      <c r="B1351" s="471" t="s">
        <v>1</v>
      </c>
      <c r="C1351" s="471" t="s">
        <v>4</v>
      </c>
      <c r="D1351" s="471" t="s">
        <v>287</v>
      </c>
      <c r="E1351" s="471" t="s">
        <v>74</v>
      </c>
      <c r="F1351" s="471" t="s">
        <v>3</v>
      </c>
      <c r="G1351" s="471" t="s">
        <v>4</v>
      </c>
      <c r="H1351" s="471" t="s">
        <v>5</v>
      </c>
      <c r="I1351" s="471" t="s">
        <v>6</v>
      </c>
      <c r="J1351" s="471" t="s">
        <v>7</v>
      </c>
      <c r="K1351" s="471" t="s">
        <v>60</v>
      </c>
      <c r="L1351" s="471" t="s">
        <v>8</v>
      </c>
      <c r="O1351" s="43">
        <v>1497.25</v>
      </c>
      <c r="P1351" s="43"/>
    </row>
    <row r="1352" spans="1:16" ht="25.2" customHeight="1" x14ac:dyDescent="0.4">
      <c r="A1352" s="642">
        <v>45681</v>
      </c>
      <c r="B1352" s="565" t="s">
        <v>390</v>
      </c>
      <c r="C1352" s="473"/>
      <c r="D1352" s="473"/>
      <c r="E1352" s="474">
        <f>1800+1280</f>
        <v>3080</v>
      </c>
      <c r="F1352" s="475"/>
      <c r="G1352" s="474"/>
      <c r="H1352" s="474"/>
      <c r="I1352" s="473"/>
      <c r="J1352" s="473"/>
      <c r="K1352" s="476" t="s">
        <v>693</v>
      </c>
      <c r="L1352" s="477" t="s">
        <v>717</v>
      </c>
      <c r="O1352" s="43"/>
    </row>
    <row r="1353" spans="1:16" ht="24.6" customHeight="1" x14ac:dyDescent="0.4">
      <c r="A1353" s="644"/>
      <c r="B1353" s="565" t="s">
        <v>390</v>
      </c>
      <c r="C1353" s="473"/>
      <c r="D1353" s="473"/>
      <c r="E1353" s="474"/>
      <c r="F1353" s="475">
        <f>O1353*N1353/9</f>
        <v>9499.9999999999891</v>
      </c>
      <c r="G1353" s="474"/>
      <c r="H1353" s="474"/>
      <c r="I1353" s="473"/>
      <c r="J1353" s="473"/>
      <c r="K1353" s="476" t="s">
        <v>63</v>
      </c>
      <c r="L1353" s="563" t="s">
        <v>712</v>
      </c>
      <c r="N1353" s="1">
        <v>57.104691935214497</v>
      </c>
      <c r="O1353" s="366">
        <f>O1351</f>
        <v>1497.25</v>
      </c>
    </row>
    <row r="1354" spans="1:16" ht="25.2" customHeight="1" x14ac:dyDescent="0.4">
      <c r="A1354" s="645" t="s">
        <v>17</v>
      </c>
      <c r="B1354" s="645"/>
      <c r="C1354" s="474">
        <f>SUM(C1352:C1353)</f>
        <v>0</v>
      </c>
      <c r="D1354" s="474">
        <f>SUM(D1352:D1353)</f>
        <v>0</v>
      </c>
      <c r="E1354" s="474">
        <f>SUM(E1352:E1353)</f>
        <v>3080</v>
      </c>
      <c r="F1354" s="474">
        <f>ROUNDDOWN(SUM(F1352:F1353),1)</f>
        <v>9499.9</v>
      </c>
      <c r="G1354" s="474" t="e">
        <f>SUM(#REF!)</f>
        <v>#REF!</v>
      </c>
      <c r="H1354" s="474" t="e">
        <f>SUM(#REF!)</f>
        <v>#REF!</v>
      </c>
      <c r="I1354" s="474">
        <f>SUM(I1352:I1353)</f>
        <v>0</v>
      </c>
      <c r="J1354" s="474">
        <f>SUM(J1352:J1353)</f>
        <v>0</v>
      </c>
      <c r="K1354" s="476" t="s">
        <v>63</v>
      </c>
      <c r="L1354" s="563" t="s">
        <v>719</v>
      </c>
    </row>
    <row r="1355" spans="1:16" ht="25.2" customHeight="1" x14ac:dyDescent="0.4">
      <c r="A1355" s="646" t="s">
        <v>18</v>
      </c>
      <c r="B1355" s="646"/>
      <c r="C1355" s="647">
        <f>C1354+D1354+E1354+F1354+I1354+J1354</f>
        <v>12579.9</v>
      </c>
      <c r="D1355" s="647"/>
      <c r="E1355" s="647"/>
      <c r="F1355" s="647"/>
      <c r="G1355" s="647"/>
      <c r="H1355" s="647"/>
      <c r="I1355" s="647"/>
      <c r="J1355" s="647"/>
      <c r="K1355" s="481"/>
      <c r="L1355" s="564"/>
    </row>
    <row r="1358" spans="1:16" ht="25.2" customHeight="1" x14ac:dyDescent="0.4">
      <c r="A1358" s="471" t="s">
        <v>0</v>
      </c>
      <c r="B1358" s="471" t="s">
        <v>1</v>
      </c>
      <c r="C1358" s="471" t="s">
        <v>4</v>
      </c>
      <c r="D1358" s="471" t="s">
        <v>287</v>
      </c>
      <c r="E1358" s="471" t="s">
        <v>74</v>
      </c>
      <c r="F1358" s="471" t="s">
        <v>3</v>
      </c>
      <c r="G1358" s="471" t="s">
        <v>4</v>
      </c>
      <c r="H1358" s="471" t="s">
        <v>5</v>
      </c>
      <c r="I1358" s="471" t="s">
        <v>6</v>
      </c>
      <c r="J1358" s="471" t="s">
        <v>7</v>
      </c>
      <c r="K1358" s="471" t="s">
        <v>60</v>
      </c>
      <c r="L1358" s="471" t="s">
        <v>8</v>
      </c>
      <c r="O1358" s="43">
        <v>1497.25</v>
      </c>
      <c r="P1358" s="43"/>
    </row>
    <row r="1359" spans="1:16" ht="25.2" customHeight="1" x14ac:dyDescent="0.4">
      <c r="A1359" s="642">
        <v>191785</v>
      </c>
      <c r="B1359" s="565" t="s">
        <v>390</v>
      </c>
      <c r="C1359" s="473"/>
      <c r="D1359" s="473"/>
      <c r="E1359" s="474">
        <f>1800+1800</f>
        <v>3600</v>
      </c>
      <c r="F1359" s="475"/>
      <c r="G1359" s="474"/>
      <c r="H1359" s="474"/>
      <c r="I1359" s="473"/>
      <c r="J1359" s="473"/>
      <c r="K1359" s="476" t="s">
        <v>693</v>
      </c>
      <c r="L1359" s="477" t="s">
        <v>718</v>
      </c>
      <c r="O1359" s="43"/>
    </row>
    <row r="1360" spans="1:16" ht="24.6" customHeight="1" x14ac:dyDescent="0.4">
      <c r="A1360" s="644"/>
      <c r="B1360" s="565" t="s">
        <v>390</v>
      </c>
      <c r="C1360" s="473"/>
      <c r="D1360" s="473"/>
      <c r="E1360" s="474"/>
      <c r="F1360" s="475">
        <f>O1360*N1360/9</f>
        <v>11799.999999999998</v>
      </c>
      <c r="G1360" s="474"/>
      <c r="H1360" s="474"/>
      <c r="I1360" s="473"/>
      <c r="J1360" s="473"/>
      <c r="K1360" s="476" t="s">
        <v>63</v>
      </c>
      <c r="L1360" s="563" t="s">
        <v>720</v>
      </c>
      <c r="N1360" s="1">
        <v>70.930038403740184</v>
      </c>
      <c r="O1360" s="366">
        <f>O1358</f>
        <v>1497.25</v>
      </c>
    </row>
    <row r="1361" spans="1:16" ht="25.2" customHeight="1" x14ac:dyDescent="0.4">
      <c r="A1361" s="645" t="s">
        <v>17</v>
      </c>
      <c r="B1361" s="645"/>
      <c r="C1361" s="474">
        <f>SUM(C1359:C1360)</f>
        <v>0</v>
      </c>
      <c r="D1361" s="474">
        <f>SUM(D1359:D1360)</f>
        <v>0</v>
      </c>
      <c r="E1361" s="474">
        <f>SUM(E1359:E1360)</f>
        <v>3600</v>
      </c>
      <c r="F1361" s="474">
        <f>ROUNDDOWN(SUM(F1359:F1360),0)</f>
        <v>11800</v>
      </c>
      <c r="G1361" s="474" t="e">
        <f>SUM(#REF!)</f>
        <v>#REF!</v>
      </c>
      <c r="H1361" s="474" t="e">
        <f>SUM(#REF!)</f>
        <v>#REF!</v>
      </c>
      <c r="I1361" s="474">
        <f>SUM(I1359:I1360)</f>
        <v>0</v>
      </c>
      <c r="J1361" s="474">
        <f>SUM(J1359:J1360)</f>
        <v>0</v>
      </c>
      <c r="K1361" s="476" t="s">
        <v>63</v>
      </c>
      <c r="L1361" s="563" t="s">
        <v>719</v>
      </c>
    </row>
    <row r="1362" spans="1:16" ht="25.2" customHeight="1" x14ac:dyDescent="0.4">
      <c r="A1362" s="646" t="s">
        <v>18</v>
      </c>
      <c r="B1362" s="646"/>
      <c r="C1362" s="647">
        <f>C1361+D1361+E1361+F1361+I1361+J1361</f>
        <v>15400</v>
      </c>
      <c r="D1362" s="647"/>
      <c r="E1362" s="647"/>
      <c r="F1362" s="647"/>
      <c r="G1362" s="647"/>
      <c r="H1362" s="647"/>
      <c r="I1362" s="647"/>
      <c r="J1362" s="647"/>
      <c r="K1362" s="481"/>
      <c r="L1362" s="564"/>
    </row>
    <row r="1365" spans="1:16" ht="25.2" customHeight="1" x14ac:dyDescent="0.4">
      <c r="A1365" s="471" t="s">
        <v>0</v>
      </c>
      <c r="B1365" s="471" t="s">
        <v>1</v>
      </c>
      <c r="C1365" s="471" t="s">
        <v>4</v>
      </c>
      <c r="D1365" s="471" t="s">
        <v>287</v>
      </c>
      <c r="E1365" s="471" t="s">
        <v>74</v>
      </c>
      <c r="F1365" s="471" t="s">
        <v>3</v>
      </c>
      <c r="G1365" s="471" t="s">
        <v>4</v>
      </c>
      <c r="H1365" s="471" t="s">
        <v>5</v>
      </c>
      <c r="I1365" s="471" t="s">
        <v>6</v>
      </c>
      <c r="J1365" s="471" t="s">
        <v>7</v>
      </c>
      <c r="K1365" s="471" t="s">
        <v>60</v>
      </c>
      <c r="L1365" s="471" t="s">
        <v>8</v>
      </c>
      <c r="O1365" s="43">
        <v>1497.25</v>
      </c>
      <c r="P1365" s="43"/>
    </row>
    <row r="1366" spans="1:16" ht="25.2" customHeight="1" x14ac:dyDescent="0.4">
      <c r="A1366" s="642">
        <v>191788</v>
      </c>
      <c r="B1366" s="568" t="s">
        <v>390</v>
      </c>
      <c r="C1366" s="473"/>
      <c r="D1366" s="473"/>
      <c r="E1366" s="474">
        <f>1800+1800</f>
        <v>3600</v>
      </c>
      <c r="F1366" s="475"/>
      <c r="G1366" s="474"/>
      <c r="H1366" s="474"/>
      <c r="I1366" s="473"/>
      <c r="J1366" s="473"/>
      <c r="K1366" s="476" t="s">
        <v>693</v>
      </c>
      <c r="L1366" s="477" t="s">
        <v>721</v>
      </c>
      <c r="O1366" s="43"/>
    </row>
    <row r="1367" spans="1:16" ht="24.6" customHeight="1" x14ac:dyDescent="0.4">
      <c r="A1367" s="644"/>
      <c r="B1367" s="568" t="s">
        <v>390</v>
      </c>
      <c r="C1367" s="473"/>
      <c r="D1367" s="473"/>
      <c r="E1367" s="474"/>
      <c r="F1367" s="475">
        <f>O1367*N1367/9</f>
        <v>14500.000000000002</v>
      </c>
      <c r="G1367" s="474"/>
      <c r="H1367" s="474"/>
      <c r="I1367" s="473"/>
      <c r="J1367" s="473"/>
      <c r="K1367" s="476" t="s">
        <v>63</v>
      </c>
      <c r="L1367" s="566" t="s">
        <v>722</v>
      </c>
      <c r="N1367" s="1">
        <v>87.15979295374855</v>
      </c>
      <c r="O1367" s="366">
        <f>O1365</f>
        <v>1497.25</v>
      </c>
    </row>
    <row r="1368" spans="1:16" ht="25.2" customHeight="1" x14ac:dyDescent="0.4">
      <c r="A1368" s="645" t="s">
        <v>17</v>
      </c>
      <c r="B1368" s="645"/>
      <c r="C1368" s="474">
        <f>SUM(C1366:C1367)</f>
        <v>0</v>
      </c>
      <c r="D1368" s="474">
        <f>SUM(D1366:D1367)</f>
        <v>0</v>
      </c>
      <c r="E1368" s="474">
        <f>SUM(E1366:E1367)</f>
        <v>3600</v>
      </c>
      <c r="F1368" s="474">
        <f>ROUNDDOWN(SUM(F1366:F1367),0)</f>
        <v>14500</v>
      </c>
      <c r="G1368" s="474" t="e">
        <f>SUM(#REF!)</f>
        <v>#REF!</v>
      </c>
      <c r="H1368" s="474" t="e">
        <f>SUM(#REF!)</f>
        <v>#REF!</v>
      </c>
      <c r="I1368" s="474">
        <f>SUM(I1366:I1367)</f>
        <v>0</v>
      </c>
      <c r="J1368" s="474">
        <f>SUM(J1366:J1367)</f>
        <v>0</v>
      </c>
      <c r="K1368" s="476" t="s">
        <v>63</v>
      </c>
      <c r="L1368" s="566" t="s">
        <v>719</v>
      </c>
    </row>
    <row r="1369" spans="1:16" ht="25.2" customHeight="1" x14ac:dyDescent="0.4">
      <c r="A1369" s="646" t="s">
        <v>18</v>
      </c>
      <c r="B1369" s="646"/>
      <c r="C1369" s="647">
        <f>C1368+D1368+E1368+F1368+I1368+J1368</f>
        <v>18100</v>
      </c>
      <c r="D1369" s="647"/>
      <c r="E1369" s="647"/>
      <c r="F1369" s="647"/>
      <c r="G1369" s="647"/>
      <c r="H1369" s="647"/>
      <c r="I1369" s="647"/>
      <c r="J1369" s="647"/>
      <c r="K1369" s="481"/>
      <c r="L1369" s="567"/>
    </row>
    <row r="1371" spans="1:16" ht="25.2" customHeight="1" x14ac:dyDescent="0.4">
      <c r="A1371" s="471" t="s">
        <v>0</v>
      </c>
      <c r="B1371" s="471" t="s">
        <v>1</v>
      </c>
      <c r="C1371" s="471" t="s">
        <v>4</v>
      </c>
      <c r="D1371" s="471" t="s">
        <v>287</v>
      </c>
      <c r="E1371" s="471" t="s">
        <v>74</v>
      </c>
      <c r="F1371" s="471" t="s">
        <v>3</v>
      </c>
      <c r="G1371" s="471" t="s">
        <v>4</v>
      </c>
      <c r="H1371" s="471" t="s">
        <v>5</v>
      </c>
      <c r="I1371" s="471" t="s">
        <v>6</v>
      </c>
      <c r="J1371" s="471" t="s">
        <v>7</v>
      </c>
      <c r="K1371" s="471" t="s">
        <v>60</v>
      </c>
      <c r="L1371" s="471" t="s">
        <v>8</v>
      </c>
      <c r="O1371" s="43">
        <v>1563.53</v>
      </c>
      <c r="P1371" s="43"/>
    </row>
    <row r="1372" spans="1:16" ht="25.2" customHeight="1" x14ac:dyDescent="0.4">
      <c r="A1372" s="642">
        <v>45693</v>
      </c>
      <c r="B1372" s="572" t="s">
        <v>390</v>
      </c>
      <c r="C1372" s="473"/>
      <c r="D1372" s="473"/>
      <c r="E1372" s="474">
        <f>1800+1200</f>
        <v>3000</v>
      </c>
      <c r="F1372" s="475"/>
      <c r="G1372" s="474"/>
      <c r="H1372" s="474"/>
      <c r="I1372" s="473"/>
      <c r="J1372" s="473"/>
      <c r="K1372" s="476" t="s">
        <v>693</v>
      </c>
      <c r="L1372" s="477" t="s">
        <v>718</v>
      </c>
      <c r="O1372" s="43"/>
    </row>
    <row r="1373" spans="1:16" ht="24.6" customHeight="1" x14ac:dyDescent="0.4">
      <c r="A1373" s="644"/>
      <c r="B1373" s="572" t="s">
        <v>390</v>
      </c>
      <c r="C1373" s="473"/>
      <c r="D1373" s="473"/>
      <c r="E1373" s="474"/>
      <c r="F1373" s="475">
        <f>O1373*N1373/9</f>
        <v>12499.999999999998</v>
      </c>
      <c r="G1373" s="474"/>
      <c r="H1373" s="474"/>
      <c r="I1373" s="473"/>
      <c r="J1373" s="473"/>
      <c r="K1373" s="476" t="s">
        <v>63</v>
      </c>
      <c r="L1373" s="571" t="s">
        <v>728</v>
      </c>
      <c r="N1373" s="1">
        <v>71.95256886660313</v>
      </c>
      <c r="O1373" s="366">
        <f>O1371</f>
        <v>1563.53</v>
      </c>
    </row>
    <row r="1374" spans="1:16" ht="25.2" customHeight="1" x14ac:dyDescent="0.4">
      <c r="A1374" s="570">
        <v>45695</v>
      </c>
      <c r="B1374" s="572" t="s">
        <v>390</v>
      </c>
      <c r="C1374" s="473"/>
      <c r="D1374" s="473"/>
      <c r="E1374" s="474"/>
      <c r="F1374" s="475"/>
      <c r="G1374" s="474"/>
      <c r="H1374" s="474"/>
      <c r="I1374" s="473"/>
      <c r="J1374" s="473">
        <v>16600</v>
      </c>
      <c r="K1374" s="476" t="s">
        <v>723</v>
      </c>
      <c r="L1374" s="477" t="s">
        <v>724</v>
      </c>
      <c r="O1374" s="43"/>
    </row>
    <row r="1375" spans="1:16" ht="25.2" customHeight="1" x14ac:dyDescent="0.4">
      <c r="A1375" s="642">
        <v>45698</v>
      </c>
      <c r="B1375" s="572" t="s">
        <v>390</v>
      </c>
      <c r="C1375" s="473"/>
      <c r="D1375" s="473"/>
      <c r="E1375" s="474">
        <f>1800+1200</f>
        <v>3000</v>
      </c>
      <c r="F1375" s="475"/>
      <c r="G1375" s="474"/>
      <c r="H1375" s="474"/>
      <c r="I1375" s="473"/>
      <c r="J1375" s="473"/>
      <c r="K1375" s="476" t="s">
        <v>714</v>
      </c>
      <c r="L1375" s="477" t="s">
        <v>718</v>
      </c>
      <c r="O1375" s="43"/>
    </row>
    <row r="1376" spans="1:16" ht="24.6" customHeight="1" x14ac:dyDescent="0.4">
      <c r="A1376" s="644"/>
      <c r="B1376" s="572" t="s">
        <v>390</v>
      </c>
      <c r="C1376" s="473"/>
      <c r="D1376" s="473"/>
      <c r="E1376" s="474"/>
      <c r="F1376" s="475">
        <f>O1376*N1376/9</f>
        <v>12499.999999999998</v>
      </c>
      <c r="G1376" s="474"/>
      <c r="H1376" s="474"/>
      <c r="I1376" s="473"/>
      <c r="J1376" s="473"/>
      <c r="K1376" s="476" t="s">
        <v>63</v>
      </c>
      <c r="L1376" s="571" t="s">
        <v>727</v>
      </c>
      <c r="N1376" s="1">
        <v>71.95256886660313</v>
      </c>
      <c r="O1376" s="366">
        <f>O1371</f>
        <v>1563.53</v>
      </c>
    </row>
    <row r="1377" spans="1:16" ht="25.2" customHeight="1" x14ac:dyDescent="0.4">
      <c r="A1377" s="570">
        <v>45701</v>
      </c>
      <c r="B1377" s="572" t="s">
        <v>390</v>
      </c>
      <c r="C1377" s="473"/>
      <c r="D1377" s="473"/>
      <c r="E1377" s="474"/>
      <c r="F1377" s="475"/>
      <c r="G1377" s="474"/>
      <c r="H1377" s="474"/>
      <c r="I1377" s="473"/>
      <c r="J1377" s="473">
        <v>26000</v>
      </c>
      <c r="K1377" s="476" t="s">
        <v>730</v>
      </c>
      <c r="L1377" s="477" t="s">
        <v>725</v>
      </c>
      <c r="O1377" s="43"/>
    </row>
    <row r="1378" spans="1:16" ht="25.2" customHeight="1" x14ac:dyDescent="0.4">
      <c r="A1378" s="645" t="s">
        <v>17</v>
      </c>
      <c r="B1378" s="645"/>
      <c r="C1378" s="474">
        <f>SUM(C1372:C1377)</f>
        <v>0</v>
      </c>
      <c r="D1378" s="474">
        <f>SUM(D1372:D1377)</f>
        <v>0</v>
      </c>
      <c r="E1378" s="474">
        <f>SUM(E1372:E1377)</f>
        <v>6000</v>
      </c>
      <c r="F1378" s="474">
        <f>ROUNDDOWN(SUM(F1372:F1377),0)</f>
        <v>25000</v>
      </c>
      <c r="G1378" s="474" t="e">
        <f>SUM(#REF!)</f>
        <v>#REF!</v>
      </c>
      <c r="H1378" s="474" t="e">
        <f>SUM(#REF!)</f>
        <v>#REF!</v>
      </c>
      <c r="I1378" s="474">
        <f>SUM(I1372:I1377)</f>
        <v>0</v>
      </c>
      <c r="J1378" s="474">
        <f>SUM(J1372:J1377)</f>
        <v>42600</v>
      </c>
      <c r="K1378" s="476" t="s">
        <v>63</v>
      </c>
      <c r="L1378" s="571" t="s">
        <v>731</v>
      </c>
    </row>
    <row r="1379" spans="1:16" ht="25.2" customHeight="1" x14ac:dyDescent="0.4">
      <c r="A1379" s="646" t="s">
        <v>18</v>
      </c>
      <c r="B1379" s="646"/>
      <c r="C1379" s="647">
        <f>C1378+D1378+E1378+F1378+I1378+J1378</f>
        <v>73600</v>
      </c>
      <c r="D1379" s="647"/>
      <c r="E1379" s="647"/>
      <c r="F1379" s="647"/>
      <c r="G1379" s="647"/>
      <c r="H1379" s="647"/>
      <c r="I1379" s="647"/>
      <c r="J1379" s="647"/>
      <c r="K1379" s="481"/>
      <c r="L1379" s="569"/>
    </row>
    <row r="1381" spans="1:16" ht="25.2" customHeight="1" x14ac:dyDescent="0.4">
      <c r="A1381" s="471" t="s">
        <v>0</v>
      </c>
      <c r="B1381" s="471" t="s">
        <v>1</v>
      </c>
      <c r="C1381" s="471" t="s">
        <v>4</v>
      </c>
      <c r="D1381" s="471" t="s">
        <v>287</v>
      </c>
      <c r="E1381" s="471" t="s">
        <v>74</v>
      </c>
      <c r="F1381" s="471" t="s">
        <v>3</v>
      </c>
      <c r="G1381" s="471" t="s">
        <v>4</v>
      </c>
      <c r="H1381" s="471" t="s">
        <v>5</v>
      </c>
      <c r="I1381" s="471" t="s">
        <v>6</v>
      </c>
      <c r="J1381" s="471" t="s">
        <v>7</v>
      </c>
      <c r="K1381" s="471" t="s">
        <v>60</v>
      </c>
      <c r="L1381" s="471" t="s">
        <v>8</v>
      </c>
      <c r="O1381" s="43">
        <v>1563.53</v>
      </c>
      <c r="P1381" s="43"/>
    </row>
    <row r="1382" spans="1:16" ht="25.2" customHeight="1" x14ac:dyDescent="0.4">
      <c r="A1382" s="642">
        <v>45702</v>
      </c>
      <c r="B1382" s="572" t="s">
        <v>390</v>
      </c>
      <c r="C1382" s="473"/>
      <c r="D1382" s="473"/>
      <c r="E1382" s="474">
        <f>1800+1280</f>
        <v>3080</v>
      </c>
      <c r="F1382" s="475"/>
      <c r="G1382" s="474"/>
      <c r="H1382" s="474"/>
      <c r="I1382" s="473"/>
      <c r="J1382" s="473"/>
      <c r="K1382" s="476" t="s">
        <v>693</v>
      </c>
      <c r="L1382" s="477" t="s">
        <v>718</v>
      </c>
      <c r="O1382" s="43"/>
    </row>
    <row r="1383" spans="1:16" ht="25.2" customHeight="1" x14ac:dyDescent="0.4">
      <c r="A1383" s="643"/>
      <c r="B1383" s="572" t="s">
        <v>390</v>
      </c>
      <c r="C1383" s="473"/>
      <c r="D1383" s="473">
        <v>3400</v>
      </c>
      <c r="E1383" s="474"/>
      <c r="F1383" s="475"/>
      <c r="G1383" s="474"/>
      <c r="H1383" s="474"/>
      <c r="I1383" s="473"/>
      <c r="J1383" s="473"/>
      <c r="K1383" s="476" t="s">
        <v>713</v>
      </c>
      <c r="L1383" s="477" t="s">
        <v>729</v>
      </c>
      <c r="O1383" s="43"/>
    </row>
    <row r="1384" spans="1:16" ht="24.6" customHeight="1" x14ac:dyDescent="0.4">
      <c r="A1384" s="644"/>
      <c r="B1384" s="572" t="s">
        <v>390</v>
      </c>
      <c r="C1384" s="473"/>
      <c r="D1384" s="473"/>
      <c r="E1384" s="474"/>
      <c r="F1384" s="475">
        <f>O1384*N1384/9</f>
        <v>9920.0000000000018</v>
      </c>
      <c r="G1384" s="474"/>
      <c r="H1384" s="474"/>
      <c r="I1384" s="473"/>
      <c r="J1384" s="473"/>
      <c r="K1384" s="476" t="s">
        <v>63</v>
      </c>
      <c r="L1384" s="571" t="s">
        <v>726</v>
      </c>
      <c r="N1384" s="1">
        <v>57.101558652536255</v>
      </c>
      <c r="O1384" s="366">
        <f>O1381</f>
        <v>1563.53</v>
      </c>
    </row>
    <row r="1385" spans="1:16" ht="25.2" customHeight="1" x14ac:dyDescent="0.4">
      <c r="A1385" s="645" t="s">
        <v>17</v>
      </c>
      <c r="B1385" s="645"/>
      <c r="C1385" s="474">
        <f>SUM(C1382:C1384)</f>
        <v>0</v>
      </c>
      <c r="D1385" s="474">
        <f>SUM(D1382:D1384)</f>
        <v>3400</v>
      </c>
      <c r="E1385" s="474">
        <f>SUM(E1382:E1384)</f>
        <v>3080</v>
      </c>
      <c r="F1385" s="474">
        <f>ROUNDDOWN(SUM(F1382:F1384),0)</f>
        <v>9920</v>
      </c>
      <c r="G1385" s="474" t="e">
        <f>SUM(#REF!)</f>
        <v>#REF!</v>
      </c>
      <c r="H1385" s="474" t="e">
        <f>SUM(#REF!)</f>
        <v>#REF!</v>
      </c>
      <c r="I1385" s="474">
        <f>SUM(I1382:I1384)</f>
        <v>0</v>
      </c>
      <c r="J1385" s="474">
        <f>SUM(J1382:J1384)</f>
        <v>0</v>
      </c>
      <c r="K1385" s="476" t="s">
        <v>63</v>
      </c>
      <c r="L1385" s="571" t="s">
        <v>732</v>
      </c>
    </row>
    <row r="1386" spans="1:16" ht="25.2" customHeight="1" x14ac:dyDescent="0.4">
      <c r="A1386" s="646" t="s">
        <v>18</v>
      </c>
      <c r="B1386" s="646"/>
      <c r="C1386" s="647">
        <f>C1385+D1385+E1385+F1385+I1385+J1385</f>
        <v>16400</v>
      </c>
      <c r="D1386" s="647"/>
      <c r="E1386" s="647"/>
      <c r="F1386" s="647"/>
      <c r="G1386" s="647"/>
      <c r="H1386" s="647"/>
      <c r="I1386" s="647"/>
      <c r="J1386" s="647"/>
      <c r="K1386" s="481"/>
      <c r="L1386" s="569"/>
    </row>
    <row r="1389" spans="1:16" ht="25.2" customHeight="1" x14ac:dyDescent="0.4">
      <c r="A1389" s="471" t="s">
        <v>0</v>
      </c>
      <c r="B1389" s="471" t="s">
        <v>1</v>
      </c>
      <c r="C1389" s="471" t="s">
        <v>4</v>
      </c>
      <c r="D1389" s="471" t="s">
        <v>287</v>
      </c>
      <c r="E1389" s="471" t="s">
        <v>74</v>
      </c>
      <c r="F1389" s="471" t="s">
        <v>3</v>
      </c>
      <c r="G1389" s="471" t="s">
        <v>4</v>
      </c>
      <c r="H1389" s="471" t="s">
        <v>5</v>
      </c>
      <c r="I1389" s="471" t="s">
        <v>6</v>
      </c>
      <c r="J1389" s="471" t="s">
        <v>7</v>
      </c>
      <c r="K1389" s="471" t="s">
        <v>60</v>
      </c>
      <c r="L1389" s="471" t="s">
        <v>8</v>
      </c>
      <c r="O1389" s="43">
        <v>1563.53</v>
      </c>
      <c r="P1389" s="43"/>
    </row>
    <row r="1390" spans="1:16" ht="25.2" customHeight="1" x14ac:dyDescent="0.4">
      <c r="A1390" s="642">
        <v>45713</v>
      </c>
      <c r="B1390" s="575" t="s">
        <v>390</v>
      </c>
      <c r="C1390" s="473"/>
      <c r="D1390" s="473"/>
      <c r="E1390" s="474">
        <f>1200+10000+10000+1800</f>
        <v>23000</v>
      </c>
      <c r="F1390" s="475"/>
      <c r="G1390" s="474"/>
      <c r="H1390" s="474"/>
      <c r="I1390" s="473"/>
      <c r="J1390" s="473"/>
      <c r="K1390" s="476" t="s">
        <v>693</v>
      </c>
      <c r="L1390" s="477" t="s">
        <v>711</v>
      </c>
      <c r="O1390" s="43"/>
    </row>
    <row r="1391" spans="1:16" ht="25.2" customHeight="1" x14ac:dyDescent="0.4">
      <c r="A1391" s="643"/>
      <c r="B1391" s="575" t="s">
        <v>390</v>
      </c>
      <c r="C1391" s="473"/>
      <c r="D1391" s="473"/>
      <c r="E1391" s="474"/>
      <c r="F1391" s="475"/>
      <c r="G1391" s="474"/>
      <c r="H1391" s="474"/>
      <c r="I1391" s="473"/>
      <c r="J1391" s="473">
        <v>5500</v>
      </c>
      <c r="K1391" s="476"/>
      <c r="L1391" s="477"/>
      <c r="O1391" s="43"/>
    </row>
    <row r="1392" spans="1:16" ht="24.6" customHeight="1" x14ac:dyDescent="0.4">
      <c r="A1392" s="644"/>
      <c r="B1392" s="575" t="s">
        <v>390</v>
      </c>
      <c r="C1392" s="473"/>
      <c r="D1392" s="473"/>
      <c r="E1392" s="474"/>
      <c r="F1392" s="475">
        <f>O1392*N1392/9</f>
        <v>31999.999999999985</v>
      </c>
      <c r="G1392" s="474"/>
      <c r="H1392" s="474"/>
      <c r="I1392" s="473"/>
      <c r="J1392" s="473"/>
      <c r="K1392" s="476" t="s">
        <v>63</v>
      </c>
      <c r="L1392" s="573" t="s">
        <v>733</v>
      </c>
      <c r="N1392" s="1">
        <v>184.19857629850395</v>
      </c>
      <c r="O1392" s="366">
        <f>O1389</f>
        <v>1563.53</v>
      </c>
    </row>
    <row r="1393" spans="1:16" ht="25.2" customHeight="1" x14ac:dyDescent="0.4">
      <c r="A1393" s="645" t="s">
        <v>17</v>
      </c>
      <c r="B1393" s="645"/>
      <c r="C1393" s="474">
        <f>SUM(C1390:C1392)</f>
        <v>0</v>
      </c>
      <c r="D1393" s="474">
        <f>SUM(D1390:D1392)</f>
        <v>0</v>
      </c>
      <c r="E1393" s="474">
        <f>SUM(E1390:E1392)</f>
        <v>23000</v>
      </c>
      <c r="F1393" s="474">
        <f>ROUNDDOWN(SUM(F1390:F1392),0)</f>
        <v>32000</v>
      </c>
      <c r="G1393" s="474" t="e">
        <f>SUM(#REF!)</f>
        <v>#REF!</v>
      </c>
      <c r="H1393" s="474" t="e">
        <f>SUM(#REF!)</f>
        <v>#REF!</v>
      </c>
      <c r="I1393" s="474">
        <f>SUM(I1390:I1392)</f>
        <v>0</v>
      </c>
      <c r="J1393" s="474">
        <f>SUM(J1390:J1392)</f>
        <v>5500</v>
      </c>
      <c r="K1393" s="476" t="s">
        <v>63</v>
      </c>
      <c r="L1393" s="573" t="s">
        <v>703</v>
      </c>
    </row>
    <row r="1394" spans="1:16" ht="25.2" customHeight="1" x14ac:dyDescent="0.4">
      <c r="A1394" s="646" t="s">
        <v>18</v>
      </c>
      <c r="B1394" s="646"/>
      <c r="C1394" s="647">
        <f>C1393+D1393+E1393+F1393+I1393+J1393</f>
        <v>60500</v>
      </c>
      <c r="D1394" s="647"/>
      <c r="E1394" s="647"/>
      <c r="F1394" s="647"/>
      <c r="G1394" s="647"/>
      <c r="H1394" s="647"/>
      <c r="I1394" s="647"/>
      <c r="J1394" s="647"/>
      <c r="K1394" s="481"/>
      <c r="L1394" s="574"/>
    </row>
    <row r="1396" spans="1:16" ht="25.2" customHeight="1" x14ac:dyDescent="0.4">
      <c r="A1396" s="471" t="s">
        <v>0</v>
      </c>
      <c r="B1396" s="471" t="s">
        <v>1</v>
      </c>
      <c r="C1396" s="471" t="s">
        <v>4</v>
      </c>
      <c r="D1396" s="471" t="s">
        <v>287</v>
      </c>
      <c r="E1396" s="471" t="s">
        <v>74</v>
      </c>
      <c r="F1396" s="471" t="s">
        <v>3</v>
      </c>
      <c r="G1396" s="471" t="s">
        <v>4</v>
      </c>
      <c r="H1396" s="471" t="s">
        <v>5</v>
      </c>
      <c r="I1396" s="471" t="s">
        <v>6</v>
      </c>
      <c r="J1396" s="471" t="s">
        <v>7</v>
      </c>
      <c r="K1396" s="471" t="s">
        <v>60</v>
      </c>
      <c r="L1396" s="471" t="s">
        <v>8</v>
      </c>
      <c r="O1396" s="43">
        <v>1563.53</v>
      </c>
      <c r="P1396" s="43"/>
    </row>
    <row r="1397" spans="1:16" ht="25.2" customHeight="1" x14ac:dyDescent="0.4">
      <c r="A1397" s="642">
        <v>45716</v>
      </c>
      <c r="B1397" s="578" t="s">
        <v>390</v>
      </c>
      <c r="C1397" s="473"/>
      <c r="D1397" s="473"/>
      <c r="E1397" s="474">
        <f>1200+1800</f>
        <v>3000</v>
      </c>
      <c r="F1397" s="475"/>
      <c r="G1397" s="474"/>
      <c r="H1397" s="474"/>
      <c r="I1397" s="473"/>
      <c r="J1397" s="473"/>
      <c r="K1397" s="476" t="s">
        <v>693</v>
      </c>
      <c r="L1397" s="477" t="s">
        <v>734</v>
      </c>
      <c r="O1397" s="43"/>
    </row>
    <row r="1398" spans="1:16" ht="24.6" customHeight="1" x14ac:dyDescent="0.4">
      <c r="A1398" s="644"/>
      <c r="B1398" s="578" t="s">
        <v>390</v>
      </c>
      <c r="C1398" s="473"/>
      <c r="D1398" s="473"/>
      <c r="E1398" s="474"/>
      <c r="F1398" s="475">
        <f>O1398*N1398/9</f>
        <v>11300</v>
      </c>
      <c r="G1398" s="474"/>
      <c r="H1398" s="474"/>
      <c r="I1398" s="473"/>
      <c r="J1398" s="473"/>
      <c r="K1398" s="476" t="s">
        <v>63</v>
      </c>
      <c r="L1398" s="576" t="s">
        <v>735</v>
      </c>
      <c r="N1398" s="1">
        <v>65.04512225540924</v>
      </c>
      <c r="O1398" s="366">
        <f>O1396</f>
        <v>1563.53</v>
      </c>
    </row>
    <row r="1399" spans="1:16" ht="25.2" customHeight="1" x14ac:dyDescent="0.4">
      <c r="A1399" s="645" t="s">
        <v>17</v>
      </c>
      <c r="B1399" s="645"/>
      <c r="C1399" s="474">
        <f>SUM(C1397:C1398)</f>
        <v>0</v>
      </c>
      <c r="D1399" s="474">
        <f>SUM(D1397:D1398)</f>
        <v>0</v>
      </c>
      <c r="E1399" s="474">
        <f>SUM(E1397:E1398)</f>
        <v>3000</v>
      </c>
      <c r="F1399" s="474">
        <f>ROUNDDOWN(SUM(F1397:F1398),0)</f>
        <v>11300</v>
      </c>
      <c r="G1399" s="474" t="e">
        <f>SUM(#REF!)</f>
        <v>#REF!</v>
      </c>
      <c r="H1399" s="474" t="e">
        <f>SUM(#REF!)</f>
        <v>#REF!</v>
      </c>
      <c r="I1399" s="474">
        <f>SUM(I1397:I1398)</f>
        <v>0</v>
      </c>
      <c r="J1399" s="474">
        <f>SUM(J1397:J1398)</f>
        <v>0</v>
      </c>
      <c r="K1399" s="476" t="s">
        <v>63</v>
      </c>
      <c r="L1399" s="576" t="s">
        <v>736</v>
      </c>
    </row>
    <row r="1400" spans="1:16" ht="25.2" customHeight="1" x14ac:dyDescent="0.4">
      <c r="A1400" s="646" t="s">
        <v>18</v>
      </c>
      <c r="B1400" s="646"/>
      <c r="C1400" s="647">
        <f>C1399+D1399+E1399+F1399+I1399+J1399</f>
        <v>14300</v>
      </c>
      <c r="D1400" s="647"/>
      <c r="E1400" s="647"/>
      <c r="F1400" s="647"/>
      <c r="G1400" s="647"/>
      <c r="H1400" s="647"/>
      <c r="I1400" s="647"/>
      <c r="J1400" s="647"/>
      <c r="K1400" s="481"/>
      <c r="L1400" s="577"/>
    </row>
    <row r="1402" spans="1:16" ht="25.2" customHeight="1" x14ac:dyDescent="0.4">
      <c r="A1402" s="471" t="s">
        <v>0</v>
      </c>
      <c r="B1402" s="471" t="s">
        <v>1</v>
      </c>
      <c r="C1402" s="471" t="s">
        <v>4</v>
      </c>
      <c r="D1402" s="471" t="s">
        <v>287</v>
      </c>
      <c r="E1402" s="471" t="s">
        <v>74</v>
      </c>
      <c r="F1402" s="471" t="s">
        <v>3</v>
      </c>
      <c r="G1402" s="471" t="s">
        <v>4</v>
      </c>
      <c r="H1402" s="471" t="s">
        <v>5</v>
      </c>
      <c r="I1402" s="471" t="s">
        <v>6</v>
      </c>
      <c r="J1402" s="471" t="s">
        <v>7</v>
      </c>
      <c r="K1402" s="471" t="s">
        <v>60</v>
      </c>
      <c r="L1402" s="471" t="s">
        <v>8</v>
      </c>
      <c r="O1402" s="43">
        <v>1563.53</v>
      </c>
      <c r="P1402" s="43"/>
    </row>
    <row r="1403" spans="1:16" ht="25.2" customHeight="1" x14ac:dyDescent="0.4">
      <c r="A1403" s="642">
        <v>45732</v>
      </c>
      <c r="B1403" s="580" t="s">
        <v>390</v>
      </c>
      <c r="C1403" s="473"/>
      <c r="D1403" s="473"/>
      <c r="E1403" s="474"/>
      <c r="F1403" s="475"/>
      <c r="G1403" s="474"/>
      <c r="H1403" s="474"/>
      <c r="I1403" s="473"/>
      <c r="J1403" s="473">
        <v>39000</v>
      </c>
      <c r="K1403" s="476" t="s">
        <v>693</v>
      </c>
      <c r="L1403" s="477" t="s">
        <v>738</v>
      </c>
      <c r="O1403" s="43"/>
    </row>
    <row r="1404" spans="1:16" ht="24.6" customHeight="1" x14ac:dyDescent="0.4">
      <c r="A1404" s="644"/>
      <c r="B1404" s="580" t="s">
        <v>390</v>
      </c>
      <c r="C1404" s="473"/>
      <c r="D1404" s="473"/>
      <c r="E1404" s="474"/>
      <c r="F1404" s="475">
        <f>O1404*N1404/9</f>
        <v>0</v>
      </c>
      <c r="G1404" s="474"/>
      <c r="H1404" s="474"/>
      <c r="I1404" s="473"/>
      <c r="J1404" s="473"/>
      <c r="K1404" s="476" t="s">
        <v>63</v>
      </c>
      <c r="L1404" s="579" t="s">
        <v>737</v>
      </c>
      <c r="N1404" s="1">
        <v>0</v>
      </c>
      <c r="O1404" s="366">
        <f>O1402</f>
        <v>1563.53</v>
      </c>
    </row>
    <row r="1405" spans="1:16" ht="25.2" customHeight="1" x14ac:dyDescent="0.4">
      <c r="A1405" s="645" t="s">
        <v>17</v>
      </c>
      <c r="B1405" s="645"/>
      <c r="C1405" s="474">
        <f>SUM(C1403:C1404)</f>
        <v>0</v>
      </c>
      <c r="D1405" s="474">
        <f>SUM(D1403:D1404)</f>
        <v>0</v>
      </c>
      <c r="E1405" s="474">
        <f>SUM(E1403:E1404)</f>
        <v>0</v>
      </c>
      <c r="F1405" s="474">
        <f>ROUNDDOWN(SUM(F1403:F1404),0)</f>
        <v>0</v>
      </c>
      <c r="G1405" s="474" t="e">
        <f>SUM(#REF!)</f>
        <v>#REF!</v>
      </c>
      <c r="H1405" s="474" t="e">
        <f>SUM(#REF!)</f>
        <v>#REF!</v>
      </c>
      <c r="I1405" s="474">
        <f>SUM(I1403:I1404)</f>
        <v>0</v>
      </c>
      <c r="J1405" s="474">
        <f>SUM(J1403:J1404)</f>
        <v>39000</v>
      </c>
      <c r="K1405" s="476" t="s">
        <v>63</v>
      </c>
      <c r="L1405" s="579" t="s">
        <v>731</v>
      </c>
    </row>
    <row r="1406" spans="1:16" ht="25.2" customHeight="1" x14ac:dyDescent="0.4">
      <c r="A1406" s="646" t="s">
        <v>18</v>
      </c>
      <c r="B1406" s="646"/>
      <c r="C1406" s="647">
        <f>C1405+D1405+E1405+F1405+I1405+J1405</f>
        <v>39000</v>
      </c>
      <c r="D1406" s="647"/>
      <c r="E1406" s="647"/>
      <c r="F1406" s="647"/>
      <c r="G1406" s="647"/>
      <c r="H1406" s="647"/>
      <c r="I1406" s="647"/>
      <c r="J1406" s="647"/>
      <c r="K1406" s="481"/>
      <c r="L1406" s="584">
        <f ca="1">C1403:L1406</f>
        <v>0</v>
      </c>
    </row>
    <row r="1408" spans="1:16" ht="25.2" customHeight="1" x14ac:dyDescent="0.4">
      <c r="A1408" s="471" t="s">
        <v>0</v>
      </c>
      <c r="B1408" s="471" t="s">
        <v>1</v>
      </c>
      <c r="C1408" s="471" t="s">
        <v>4</v>
      </c>
      <c r="D1408" s="471" t="s">
        <v>287</v>
      </c>
      <c r="E1408" s="471" t="s">
        <v>74</v>
      </c>
      <c r="F1408" s="471" t="s">
        <v>3</v>
      </c>
      <c r="G1408" s="471" t="s">
        <v>4</v>
      </c>
      <c r="H1408" s="471" t="s">
        <v>5</v>
      </c>
      <c r="I1408" s="471" t="s">
        <v>6</v>
      </c>
      <c r="J1408" s="471" t="s">
        <v>7</v>
      </c>
      <c r="K1408" s="471" t="s">
        <v>60</v>
      </c>
      <c r="L1408" s="471" t="s">
        <v>8</v>
      </c>
      <c r="O1408" s="43">
        <v>1594.01</v>
      </c>
      <c r="P1408" s="43"/>
    </row>
    <row r="1409" spans="1:16" ht="25.2" customHeight="1" x14ac:dyDescent="0.4">
      <c r="A1409" s="642">
        <v>45734</v>
      </c>
      <c r="B1409" s="583" t="s">
        <v>390</v>
      </c>
      <c r="C1409" s="473"/>
      <c r="D1409" s="473"/>
      <c r="E1409" s="474">
        <v>20750</v>
      </c>
      <c r="F1409" s="475"/>
      <c r="G1409" s="474"/>
      <c r="H1409" s="474"/>
      <c r="I1409" s="473"/>
      <c r="J1409" s="473"/>
      <c r="K1409" s="476" t="s">
        <v>739</v>
      </c>
      <c r="L1409" s="477" t="s">
        <v>711</v>
      </c>
      <c r="O1409" s="43"/>
    </row>
    <row r="1410" spans="1:16" ht="25.2" customHeight="1" x14ac:dyDescent="0.4">
      <c r="A1410" s="643"/>
      <c r="B1410" s="583" t="s">
        <v>390</v>
      </c>
      <c r="C1410" s="473"/>
      <c r="D1410" s="473"/>
      <c r="E1410" s="474"/>
      <c r="F1410" s="475"/>
      <c r="G1410" s="474"/>
      <c r="H1410" s="474"/>
      <c r="I1410" s="473"/>
      <c r="J1410" s="473">
        <v>27000</v>
      </c>
      <c r="K1410" s="476" t="s">
        <v>743</v>
      </c>
      <c r="L1410" s="477" t="s">
        <v>741</v>
      </c>
      <c r="O1410" s="43"/>
    </row>
    <row r="1411" spans="1:16" ht="24.6" customHeight="1" x14ac:dyDescent="0.4">
      <c r="A1411" s="644"/>
      <c r="B1411" s="583" t="s">
        <v>390</v>
      </c>
      <c r="C1411" s="473"/>
      <c r="D1411" s="473"/>
      <c r="E1411" s="474"/>
      <c r="F1411" s="475">
        <f>O1411*N1411/9</f>
        <v>32500</v>
      </c>
      <c r="G1411" s="474"/>
      <c r="H1411" s="474"/>
      <c r="I1411" s="473"/>
      <c r="J1411" s="473"/>
      <c r="K1411" s="476" t="s">
        <v>63</v>
      </c>
      <c r="L1411" s="581" t="s">
        <v>745</v>
      </c>
      <c r="N1411" s="1">
        <v>183.49947616388857</v>
      </c>
      <c r="O1411" s="366">
        <f>O1408</f>
        <v>1594.01</v>
      </c>
    </row>
    <row r="1412" spans="1:16" ht="25.2" customHeight="1" x14ac:dyDescent="0.4">
      <c r="A1412" s="642">
        <v>45736</v>
      </c>
      <c r="B1412" s="583" t="s">
        <v>390</v>
      </c>
      <c r="C1412" s="473"/>
      <c r="D1412" s="473"/>
      <c r="E1412" s="474">
        <f>1440+10000+10000+1800</f>
        <v>23240</v>
      </c>
      <c r="F1412" s="475"/>
      <c r="G1412" s="474"/>
      <c r="H1412" s="474"/>
      <c r="I1412" s="473"/>
      <c r="J1412" s="473"/>
      <c r="K1412" s="476" t="s">
        <v>740</v>
      </c>
      <c r="L1412" s="477" t="s">
        <v>711</v>
      </c>
      <c r="O1412" s="43"/>
    </row>
    <row r="1413" spans="1:16" ht="25.2" customHeight="1" x14ac:dyDescent="0.4">
      <c r="A1413" s="643"/>
      <c r="B1413" s="583" t="s">
        <v>390</v>
      </c>
      <c r="C1413" s="473"/>
      <c r="D1413" s="473"/>
      <c r="E1413" s="474"/>
      <c r="F1413" s="475"/>
      <c r="G1413" s="474"/>
      <c r="H1413" s="474"/>
      <c r="I1413" s="473"/>
      <c r="J1413" s="473">
        <v>18000</v>
      </c>
      <c r="K1413" s="476" t="s">
        <v>742</v>
      </c>
      <c r="L1413" s="477" t="s">
        <v>741</v>
      </c>
      <c r="O1413" s="43"/>
    </row>
    <row r="1414" spans="1:16" ht="24.6" customHeight="1" x14ac:dyDescent="0.4">
      <c r="A1414" s="644"/>
      <c r="B1414" s="583" t="s">
        <v>390</v>
      </c>
      <c r="C1414" s="473"/>
      <c r="D1414" s="473"/>
      <c r="E1414" s="474"/>
      <c r="F1414" s="475">
        <f>O1414*N1414/9</f>
        <v>32500</v>
      </c>
      <c r="G1414" s="474"/>
      <c r="H1414" s="474"/>
      <c r="I1414" s="473"/>
      <c r="J1414" s="473"/>
      <c r="K1414" s="476" t="s">
        <v>63</v>
      </c>
      <c r="L1414" s="581" t="s">
        <v>745</v>
      </c>
      <c r="N1414" s="1">
        <v>183.49947616388857</v>
      </c>
      <c r="O1414" s="366">
        <f>O1408</f>
        <v>1594.01</v>
      </c>
    </row>
    <row r="1415" spans="1:16" ht="25.2" customHeight="1" x14ac:dyDescent="0.4">
      <c r="A1415" s="645" t="s">
        <v>17</v>
      </c>
      <c r="B1415" s="645"/>
      <c r="C1415" s="474">
        <f>SUM(C1409:C1414)</f>
        <v>0</v>
      </c>
      <c r="D1415" s="474">
        <f>SUM(D1409:D1414)</f>
        <v>0</v>
      </c>
      <c r="E1415" s="474">
        <f>SUM(E1409:E1414)</f>
        <v>43990</v>
      </c>
      <c r="F1415" s="474">
        <f>ROUNDDOWN(SUM(F1409:H1414),0)</f>
        <v>65000</v>
      </c>
      <c r="G1415" s="474" t="e">
        <f>SUM(#REF!)</f>
        <v>#REF!</v>
      </c>
      <c r="H1415" s="474" t="e">
        <f>SUM(#REF!)</f>
        <v>#REF!</v>
      </c>
      <c r="I1415" s="474">
        <f>SUM(I1409:I1414)</f>
        <v>0</v>
      </c>
      <c r="J1415" s="474">
        <f>SUM(J1409:J1414)</f>
        <v>45000</v>
      </c>
      <c r="K1415" s="476" t="s">
        <v>63</v>
      </c>
      <c r="L1415" s="581" t="s">
        <v>744</v>
      </c>
    </row>
    <row r="1416" spans="1:16" ht="25.2" customHeight="1" x14ac:dyDescent="0.4">
      <c r="A1416" s="646" t="s">
        <v>18</v>
      </c>
      <c r="B1416" s="646"/>
      <c r="C1416" s="647">
        <f>C1415+D1415+E1415+F1415+I1415+J1415</f>
        <v>153990</v>
      </c>
      <c r="D1416" s="647"/>
      <c r="E1416" s="647"/>
      <c r="F1416" s="647"/>
      <c r="G1416" s="647"/>
      <c r="H1416" s="647"/>
      <c r="I1416" s="647"/>
      <c r="J1416" s="647"/>
      <c r="K1416" s="481"/>
      <c r="L1416" s="582"/>
    </row>
    <row r="1418" spans="1:16" ht="25.2" customHeight="1" x14ac:dyDescent="0.4">
      <c r="A1418" s="471" t="s">
        <v>0</v>
      </c>
      <c r="B1418" s="471" t="s">
        <v>1</v>
      </c>
      <c r="C1418" s="471" t="s">
        <v>4</v>
      </c>
      <c r="D1418" s="471" t="s">
        <v>287</v>
      </c>
      <c r="E1418" s="471" t="s">
        <v>74</v>
      </c>
      <c r="F1418" s="471" t="s">
        <v>3</v>
      </c>
      <c r="G1418" s="471" t="s">
        <v>4</v>
      </c>
      <c r="H1418" s="471" t="s">
        <v>5</v>
      </c>
      <c r="I1418" s="471" t="s">
        <v>6</v>
      </c>
      <c r="J1418" s="471" t="s">
        <v>7</v>
      </c>
      <c r="K1418" s="471" t="s">
        <v>60</v>
      </c>
      <c r="L1418" s="471" t="s">
        <v>8</v>
      </c>
      <c r="O1418" s="43">
        <v>1594.01</v>
      </c>
      <c r="P1418" s="43"/>
    </row>
    <row r="1419" spans="1:16" ht="25.2" customHeight="1" x14ac:dyDescent="0.4">
      <c r="A1419" s="642">
        <v>45742</v>
      </c>
      <c r="B1419" s="587" t="s">
        <v>390</v>
      </c>
      <c r="C1419" s="473"/>
      <c r="D1419" s="473"/>
      <c r="E1419" s="474">
        <v>37900</v>
      </c>
      <c r="F1419" s="475"/>
      <c r="G1419" s="474"/>
      <c r="H1419" s="474"/>
      <c r="I1419" s="473"/>
      <c r="J1419" s="473"/>
      <c r="K1419" s="476" t="s">
        <v>749</v>
      </c>
      <c r="L1419" s="477" t="s">
        <v>746</v>
      </c>
      <c r="O1419" s="43"/>
    </row>
    <row r="1420" spans="1:16" ht="25.2" customHeight="1" x14ac:dyDescent="0.4">
      <c r="A1420" s="643"/>
      <c r="B1420" s="587"/>
      <c r="C1420" s="473"/>
      <c r="D1420" s="473"/>
      <c r="E1420" s="474">
        <v>1400</v>
      </c>
      <c r="F1420" s="475"/>
      <c r="G1420" s="474"/>
      <c r="H1420" s="474"/>
      <c r="I1420" s="473"/>
      <c r="J1420" s="473"/>
      <c r="K1420" s="476" t="s">
        <v>750</v>
      </c>
      <c r="L1420" s="477" t="s">
        <v>753</v>
      </c>
      <c r="O1420" s="43"/>
    </row>
    <row r="1421" spans="1:16" ht="25.2" customHeight="1" x14ac:dyDescent="0.4">
      <c r="A1421" s="643"/>
      <c r="B1421" s="587"/>
      <c r="C1421" s="473"/>
      <c r="D1421" s="473"/>
      <c r="E1421" s="474">
        <v>1450</v>
      </c>
      <c r="F1421" s="475"/>
      <c r="G1421" s="474"/>
      <c r="H1421" s="474"/>
      <c r="I1421" s="473"/>
      <c r="J1421" s="473"/>
      <c r="K1421" s="476" t="s">
        <v>750</v>
      </c>
      <c r="L1421" s="477" t="s">
        <v>754</v>
      </c>
      <c r="O1421" s="43"/>
    </row>
    <row r="1422" spans="1:16" ht="25.2" customHeight="1" x14ac:dyDescent="0.4">
      <c r="A1422" s="643"/>
      <c r="B1422" s="587"/>
      <c r="C1422" s="473"/>
      <c r="D1422" s="473"/>
      <c r="E1422" s="474"/>
      <c r="F1422" s="475"/>
      <c r="G1422" s="474"/>
      <c r="H1422" s="474"/>
      <c r="I1422" s="473"/>
      <c r="J1422" s="474">
        <v>9000</v>
      </c>
      <c r="K1422" s="476" t="s">
        <v>751</v>
      </c>
      <c r="L1422" s="477" t="s">
        <v>752</v>
      </c>
      <c r="O1422" s="43"/>
    </row>
    <row r="1423" spans="1:16" ht="25.2" customHeight="1" x14ac:dyDescent="0.4">
      <c r="A1423" s="643"/>
      <c r="B1423" s="587"/>
      <c r="C1423" s="473"/>
      <c r="D1423" s="473"/>
      <c r="E1423" s="474"/>
      <c r="F1423" s="475"/>
      <c r="G1423" s="474"/>
      <c r="H1423" s="474"/>
      <c r="I1423" s="473"/>
      <c r="J1423" s="474">
        <v>9800</v>
      </c>
      <c r="K1423" s="476" t="s">
        <v>755</v>
      </c>
      <c r="L1423" s="477" t="s">
        <v>756</v>
      </c>
      <c r="O1423" s="43"/>
    </row>
    <row r="1424" spans="1:16" ht="25.2" customHeight="1" x14ac:dyDescent="0.4">
      <c r="A1424" s="643"/>
      <c r="B1424" s="587"/>
      <c r="C1424" s="473"/>
      <c r="D1424" s="473"/>
      <c r="E1424" s="474">
        <v>40200</v>
      </c>
      <c r="F1424" s="475"/>
      <c r="G1424" s="474"/>
      <c r="H1424" s="474"/>
      <c r="I1424" s="473"/>
      <c r="J1424" s="473"/>
      <c r="K1424" s="476" t="s">
        <v>757</v>
      </c>
      <c r="L1424" s="477" t="s">
        <v>747</v>
      </c>
      <c r="O1424" s="43"/>
    </row>
    <row r="1425" spans="1:16" ht="25.2" customHeight="1" x14ac:dyDescent="0.4">
      <c r="A1425" s="643"/>
      <c r="B1425" s="587"/>
      <c r="C1425" s="473"/>
      <c r="D1425" s="473"/>
      <c r="E1425" s="474">
        <v>3400</v>
      </c>
      <c r="F1425" s="475"/>
      <c r="G1425" s="474"/>
      <c r="H1425" s="474"/>
      <c r="I1425" s="473"/>
      <c r="J1425" s="473"/>
      <c r="K1425" s="476" t="s">
        <v>750</v>
      </c>
      <c r="L1425" s="477" t="s">
        <v>748</v>
      </c>
      <c r="O1425" s="43"/>
    </row>
    <row r="1426" spans="1:16" ht="25.2" customHeight="1" x14ac:dyDescent="0.4">
      <c r="A1426" s="645" t="s">
        <v>17</v>
      </c>
      <c r="B1426" s="645"/>
      <c r="C1426" s="474">
        <f>SUM(C1419:C1425)</f>
        <v>0</v>
      </c>
      <c r="D1426" s="474">
        <f>SUM(D1419:D1425)</f>
        <v>0</v>
      </c>
      <c r="E1426" s="474">
        <f>SUM(E1419:E1425)</f>
        <v>84350</v>
      </c>
      <c r="F1426" s="474">
        <f>ROUNDDOWN(SUM(F1419:H1425),0)</f>
        <v>0</v>
      </c>
      <c r="G1426" s="474" t="e">
        <f>SUM(#REF!)</f>
        <v>#REF!</v>
      </c>
      <c r="H1426" s="474" t="e">
        <f>SUM(#REF!)</f>
        <v>#REF!</v>
      </c>
      <c r="I1426" s="474">
        <f>SUM(I1419:I1425)</f>
        <v>0</v>
      </c>
      <c r="J1426" s="474">
        <f>SUM(J1419:J1425)</f>
        <v>18800</v>
      </c>
      <c r="K1426" s="476" t="s">
        <v>63</v>
      </c>
      <c r="L1426" s="585" t="s">
        <v>744</v>
      </c>
    </row>
    <row r="1427" spans="1:16" ht="25.2" customHeight="1" x14ac:dyDescent="0.4">
      <c r="A1427" s="646" t="s">
        <v>18</v>
      </c>
      <c r="B1427" s="646"/>
      <c r="C1427" s="647">
        <f>C1426+D1426+E1426+F1426+I1426+J1426</f>
        <v>103150</v>
      </c>
      <c r="D1427" s="647"/>
      <c r="E1427" s="647"/>
      <c r="F1427" s="647"/>
      <c r="G1427" s="647"/>
      <c r="H1427" s="647"/>
      <c r="I1427" s="647"/>
      <c r="J1427" s="647"/>
      <c r="K1427" s="481"/>
      <c r="L1427" s="586"/>
    </row>
    <row r="1429" spans="1:16" ht="25.2" customHeight="1" x14ac:dyDescent="0.4">
      <c r="A1429" s="471" t="s">
        <v>0</v>
      </c>
      <c r="B1429" s="471" t="s">
        <v>1</v>
      </c>
      <c r="C1429" s="471" t="s">
        <v>4</v>
      </c>
      <c r="D1429" s="471" t="s">
        <v>287</v>
      </c>
      <c r="E1429" s="471" t="s">
        <v>74</v>
      </c>
      <c r="F1429" s="471" t="s">
        <v>3</v>
      </c>
      <c r="G1429" s="471" t="s">
        <v>4</v>
      </c>
      <c r="H1429" s="471" t="s">
        <v>5</v>
      </c>
      <c r="I1429" s="471" t="s">
        <v>6</v>
      </c>
      <c r="J1429" s="471" t="s">
        <v>7</v>
      </c>
      <c r="K1429" s="471" t="s">
        <v>60</v>
      </c>
      <c r="L1429" s="471" t="s">
        <v>8</v>
      </c>
      <c r="O1429" s="43">
        <v>1555.03</v>
      </c>
      <c r="P1429" s="43"/>
    </row>
    <row r="1430" spans="1:16" ht="25.2" customHeight="1" x14ac:dyDescent="0.4">
      <c r="A1430" s="642">
        <v>45748</v>
      </c>
      <c r="B1430" s="590" t="s">
        <v>390</v>
      </c>
      <c r="C1430" s="473"/>
      <c r="D1430" s="473"/>
      <c r="E1430" s="474">
        <f>750+10000+10000+1800</f>
        <v>22550</v>
      </c>
      <c r="F1430" s="475"/>
      <c r="G1430" s="474"/>
      <c r="H1430" s="474"/>
      <c r="I1430" s="473"/>
      <c r="J1430" s="473"/>
      <c r="K1430" s="476" t="s">
        <v>693</v>
      </c>
      <c r="L1430" s="477" t="s">
        <v>767</v>
      </c>
      <c r="O1430" s="43"/>
    </row>
    <row r="1431" spans="1:16" ht="25.2" customHeight="1" x14ac:dyDescent="0.4">
      <c r="A1431" s="643"/>
      <c r="B1431" s="590" t="s">
        <v>390</v>
      </c>
      <c r="C1431" s="473"/>
      <c r="D1431" s="473"/>
      <c r="E1431" s="474"/>
      <c r="F1431" s="475"/>
      <c r="G1431" s="474"/>
      <c r="H1431" s="474"/>
      <c r="I1431" s="473"/>
      <c r="J1431" s="473">
        <v>5500</v>
      </c>
      <c r="K1431" s="476" t="s">
        <v>765</v>
      </c>
      <c r="L1431" s="477" t="s">
        <v>760</v>
      </c>
      <c r="O1431" s="43"/>
    </row>
    <row r="1432" spans="1:16" ht="25.2" customHeight="1" x14ac:dyDescent="0.4">
      <c r="A1432" s="643"/>
      <c r="B1432" s="592" t="s">
        <v>390</v>
      </c>
      <c r="C1432" s="473"/>
      <c r="D1432" s="473"/>
      <c r="E1432" s="474"/>
      <c r="F1432" s="475"/>
      <c r="G1432" s="474"/>
      <c r="H1432" s="474"/>
      <c r="I1432" s="473"/>
      <c r="J1432" s="473">
        <v>6900</v>
      </c>
      <c r="K1432" s="476" t="s">
        <v>766</v>
      </c>
      <c r="L1432" s="477" t="s">
        <v>759</v>
      </c>
      <c r="O1432" s="43"/>
    </row>
    <row r="1433" spans="1:16" ht="24.6" customHeight="1" x14ac:dyDescent="0.4">
      <c r="A1433" s="644"/>
      <c r="B1433" s="590" t="s">
        <v>390</v>
      </c>
      <c r="C1433" s="473"/>
      <c r="D1433" s="473"/>
      <c r="E1433" s="474"/>
      <c r="F1433" s="475">
        <f>O1433*N1433/9</f>
        <v>31800</v>
      </c>
      <c r="G1433" s="474"/>
      <c r="H1433" s="474"/>
      <c r="I1433" s="473"/>
      <c r="J1433" s="473"/>
      <c r="K1433" s="476" t="s">
        <v>63</v>
      </c>
      <c r="L1433" s="588" t="s">
        <v>768</v>
      </c>
      <c r="N1433" s="1">
        <v>184.04789618206723</v>
      </c>
      <c r="O1433" s="366">
        <f>O1429</f>
        <v>1555.03</v>
      </c>
    </row>
    <row r="1434" spans="1:16" ht="25.2" customHeight="1" x14ac:dyDescent="0.4">
      <c r="A1434" s="642">
        <v>45757</v>
      </c>
      <c r="B1434" s="592" t="s">
        <v>390</v>
      </c>
      <c r="C1434" s="473"/>
      <c r="D1434" s="473"/>
      <c r="E1434" s="474">
        <f>1800+10000+10000+750</f>
        <v>22550</v>
      </c>
      <c r="F1434" s="475"/>
      <c r="G1434" s="474"/>
      <c r="H1434" s="474"/>
      <c r="I1434" s="473"/>
      <c r="J1434" s="473"/>
      <c r="K1434" s="476" t="s">
        <v>713</v>
      </c>
      <c r="L1434" s="477" t="s">
        <v>711</v>
      </c>
      <c r="O1434" s="43"/>
    </row>
    <row r="1435" spans="1:16" ht="24.6" customHeight="1" x14ac:dyDescent="0.4">
      <c r="A1435" s="644"/>
      <c r="B1435" s="592" t="s">
        <v>390</v>
      </c>
      <c r="C1435" s="473"/>
      <c r="D1435" s="473"/>
      <c r="E1435" s="474"/>
      <c r="F1435" s="475">
        <f>O1435*N1435/9</f>
        <v>31799.99999999996</v>
      </c>
      <c r="G1435" s="474"/>
      <c r="H1435" s="474"/>
      <c r="I1435" s="473"/>
      <c r="J1435" s="473"/>
      <c r="K1435" s="476" t="s">
        <v>63</v>
      </c>
      <c r="L1435" s="591" t="s">
        <v>761</v>
      </c>
      <c r="N1435" s="1">
        <v>184.04789618206701</v>
      </c>
      <c r="O1435" s="366">
        <f>O1433</f>
        <v>1555.03</v>
      </c>
    </row>
    <row r="1436" spans="1:16" ht="25.2" customHeight="1" x14ac:dyDescent="0.4">
      <c r="A1436" s="642">
        <v>45759</v>
      </c>
      <c r="B1436" s="590" t="s">
        <v>390</v>
      </c>
      <c r="C1436" s="473"/>
      <c r="D1436" s="473"/>
      <c r="E1436" s="474">
        <f>1800+1400</f>
        <v>3200</v>
      </c>
      <c r="F1436" s="475"/>
      <c r="G1436" s="474"/>
      <c r="H1436" s="474"/>
      <c r="I1436" s="473"/>
      <c r="J1436" s="473"/>
      <c r="K1436" s="476" t="s">
        <v>764</v>
      </c>
      <c r="L1436" s="477" t="s">
        <v>763</v>
      </c>
      <c r="O1436" s="43"/>
    </row>
    <row r="1437" spans="1:16" ht="24.6" customHeight="1" x14ac:dyDescent="0.4">
      <c r="A1437" s="644"/>
      <c r="B1437" s="590" t="s">
        <v>390</v>
      </c>
      <c r="C1437" s="473"/>
      <c r="D1437" s="473"/>
      <c r="E1437" s="474"/>
      <c r="F1437" s="475">
        <f>O1437*N1437/9</f>
        <v>12400.000000000005</v>
      </c>
      <c r="G1437" s="474"/>
      <c r="H1437" s="474"/>
      <c r="I1437" s="473"/>
      <c r="J1437" s="473"/>
      <c r="K1437" s="476" t="s">
        <v>63</v>
      </c>
      <c r="L1437" s="588" t="s">
        <v>762</v>
      </c>
      <c r="N1437" s="1">
        <v>71.767104171623728</v>
      </c>
      <c r="O1437" s="366">
        <f>O1429</f>
        <v>1555.03</v>
      </c>
    </row>
    <row r="1438" spans="1:16" ht="25.2" customHeight="1" x14ac:dyDescent="0.4">
      <c r="A1438" s="645" t="s">
        <v>17</v>
      </c>
      <c r="B1438" s="645"/>
      <c r="C1438" s="474">
        <f>SUM(C1430:C1437)</f>
        <v>0</v>
      </c>
      <c r="D1438" s="474">
        <f>SUM(D1430:D1437)</f>
        <v>0</v>
      </c>
      <c r="E1438" s="474">
        <f>SUM(E1430:E1437)</f>
        <v>48300</v>
      </c>
      <c r="F1438" s="474">
        <f>ROUNDDOWN(SUM(F1430:H1437),0)</f>
        <v>76000</v>
      </c>
      <c r="G1438" s="474" t="e">
        <f>SUM(#REF!)</f>
        <v>#REF!</v>
      </c>
      <c r="H1438" s="474" t="e">
        <f>SUM(#REF!)</f>
        <v>#REF!</v>
      </c>
      <c r="I1438" s="474">
        <f>SUM(I1430:I1437)</f>
        <v>0</v>
      </c>
      <c r="J1438" s="474">
        <f>SUM(J1430:J1437)</f>
        <v>12400</v>
      </c>
      <c r="K1438" s="476" t="s">
        <v>63</v>
      </c>
      <c r="L1438" s="588" t="s">
        <v>758</v>
      </c>
    </row>
    <row r="1439" spans="1:16" ht="25.2" customHeight="1" x14ac:dyDescent="0.4">
      <c r="A1439" s="646" t="s">
        <v>18</v>
      </c>
      <c r="B1439" s="646"/>
      <c r="C1439" s="647">
        <f>C1438+D1438+E1438+F1438+I1438+J1438</f>
        <v>136700</v>
      </c>
      <c r="D1439" s="647"/>
      <c r="E1439" s="647"/>
      <c r="F1439" s="647"/>
      <c r="G1439" s="647"/>
      <c r="H1439" s="647"/>
      <c r="I1439" s="647"/>
      <c r="J1439" s="647"/>
      <c r="K1439" s="481"/>
      <c r="L1439" s="589"/>
    </row>
    <row r="1441" spans="1:16" ht="25.2" customHeight="1" x14ac:dyDescent="0.4">
      <c r="A1441" s="471" t="s">
        <v>0</v>
      </c>
      <c r="B1441" s="471" t="s">
        <v>1</v>
      </c>
      <c r="C1441" s="471" t="s">
        <v>4</v>
      </c>
      <c r="D1441" s="471" t="s">
        <v>287</v>
      </c>
      <c r="E1441" s="471" t="s">
        <v>74</v>
      </c>
      <c r="F1441" s="471" t="s">
        <v>3</v>
      </c>
      <c r="G1441" s="471" t="s">
        <v>4</v>
      </c>
      <c r="H1441" s="471" t="s">
        <v>5</v>
      </c>
      <c r="I1441" s="471" t="s">
        <v>6</v>
      </c>
      <c r="J1441" s="471" t="s">
        <v>7</v>
      </c>
      <c r="K1441" s="471" t="s">
        <v>60</v>
      </c>
      <c r="L1441" s="471" t="s">
        <v>8</v>
      </c>
      <c r="O1441" s="43">
        <v>1555.03</v>
      </c>
      <c r="P1441" s="43"/>
    </row>
    <row r="1442" spans="1:16" ht="25.2" customHeight="1" x14ac:dyDescent="0.4">
      <c r="A1442" s="642">
        <v>45771</v>
      </c>
      <c r="B1442" s="595" t="s">
        <v>390</v>
      </c>
      <c r="C1442" s="473"/>
      <c r="D1442" s="473"/>
      <c r="E1442" s="474">
        <f>750+10000+10000+1200</f>
        <v>21950</v>
      </c>
      <c r="F1442" s="475"/>
      <c r="G1442" s="474"/>
      <c r="H1442" s="474"/>
      <c r="I1442" s="473"/>
      <c r="J1442" s="473"/>
      <c r="K1442" s="476" t="s">
        <v>770</v>
      </c>
      <c r="L1442" s="477" t="s">
        <v>711</v>
      </c>
      <c r="O1442" s="43"/>
    </row>
    <row r="1443" spans="1:16" ht="25.2" customHeight="1" x14ac:dyDescent="0.4">
      <c r="A1443" s="643"/>
      <c r="B1443" s="595" t="s">
        <v>390</v>
      </c>
      <c r="C1443" s="473"/>
      <c r="D1443" s="473"/>
      <c r="E1443" s="474"/>
      <c r="F1443" s="475"/>
      <c r="G1443" s="474"/>
      <c r="H1443" s="474"/>
      <c r="I1443" s="473">
        <v>15000</v>
      </c>
      <c r="J1443" s="473">
        <f>30000</f>
        <v>30000</v>
      </c>
      <c r="K1443" s="476" t="s">
        <v>773</v>
      </c>
      <c r="L1443" s="477" t="s">
        <v>769</v>
      </c>
      <c r="O1443" s="43"/>
    </row>
    <row r="1444" spans="1:16" ht="24.6" customHeight="1" x14ac:dyDescent="0.4">
      <c r="A1444" s="644"/>
      <c r="B1444" s="595" t="s">
        <v>390</v>
      </c>
      <c r="C1444" s="473"/>
      <c r="D1444" s="473"/>
      <c r="E1444" s="474"/>
      <c r="F1444" s="475">
        <f>O1444*N1444/9</f>
        <v>31800</v>
      </c>
      <c r="G1444" s="474"/>
      <c r="H1444" s="474"/>
      <c r="I1444" s="473"/>
      <c r="J1444" s="473"/>
      <c r="K1444" s="476"/>
      <c r="L1444" s="594" t="s">
        <v>768</v>
      </c>
      <c r="N1444" s="1">
        <v>184.04789618206723</v>
      </c>
      <c r="O1444" s="366">
        <f>O1441</f>
        <v>1555.03</v>
      </c>
    </row>
    <row r="1445" spans="1:16" ht="25.2" customHeight="1" x14ac:dyDescent="0.4">
      <c r="A1445" s="642">
        <v>45772</v>
      </c>
      <c r="B1445" s="595" t="s">
        <v>390</v>
      </c>
      <c r="C1445" s="473"/>
      <c r="D1445" s="473"/>
      <c r="E1445" s="474">
        <f>10000+750</f>
        <v>10750</v>
      </c>
      <c r="F1445" s="475"/>
      <c r="G1445" s="474"/>
      <c r="H1445" s="474"/>
      <c r="I1445" s="473"/>
      <c r="J1445" s="473"/>
      <c r="K1445" s="476" t="s">
        <v>770</v>
      </c>
      <c r="L1445" s="477" t="s">
        <v>785</v>
      </c>
      <c r="O1445" s="43"/>
    </row>
    <row r="1446" spans="1:16" ht="25.2" customHeight="1" x14ac:dyDescent="0.4">
      <c r="A1446" s="643"/>
      <c r="B1446" s="595" t="s">
        <v>390</v>
      </c>
      <c r="C1446" s="473"/>
      <c r="D1446" s="473"/>
      <c r="E1446" s="474"/>
      <c r="F1446" s="475"/>
      <c r="G1446" s="474"/>
      <c r="H1446" s="474"/>
      <c r="I1446" s="473">
        <v>15000</v>
      </c>
      <c r="J1446" s="473">
        <f>30000</f>
        <v>30000</v>
      </c>
      <c r="K1446" s="476" t="s">
        <v>774</v>
      </c>
      <c r="L1446" s="477" t="s">
        <v>769</v>
      </c>
      <c r="O1446" s="43"/>
    </row>
    <row r="1447" spans="1:16" ht="25.2" customHeight="1" x14ac:dyDescent="0.4">
      <c r="A1447" s="643"/>
      <c r="B1447" s="595" t="s">
        <v>390</v>
      </c>
      <c r="C1447" s="473">
        <v>50000</v>
      </c>
      <c r="D1447" s="473"/>
      <c r="E1447" s="474"/>
      <c r="F1447" s="475"/>
      <c r="G1447" s="474"/>
      <c r="H1447" s="474"/>
      <c r="I1447" s="473"/>
      <c r="J1447" s="473"/>
      <c r="K1447" s="476" t="s">
        <v>772</v>
      </c>
      <c r="L1447" s="477" t="s">
        <v>771</v>
      </c>
      <c r="O1447" s="43"/>
    </row>
    <row r="1448" spans="1:16" ht="24.6" customHeight="1" x14ac:dyDescent="0.4">
      <c r="A1448" s="644"/>
      <c r="B1448" s="595" t="s">
        <v>390</v>
      </c>
      <c r="C1448" s="473"/>
      <c r="D1448" s="473"/>
      <c r="E1448" s="474"/>
      <c r="F1448" s="475">
        <f>O1448*N1448/9</f>
        <v>15899.99999999998</v>
      </c>
      <c r="G1448" s="474"/>
      <c r="H1448" s="474"/>
      <c r="I1448" s="473"/>
      <c r="J1448" s="473"/>
      <c r="K1448" s="476" t="s">
        <v>776</v>
      </c>
      <c r="L1448" s="594" t="s">
        <v>781</v>
      </c>
      <c r="N1448" s="1">
        <f>184.047896182067/2</f>
        <v>92.023948091033503</v>
      </c>
      <c r="O1448" s="366">
        <f>O1444</f>
        <v>1555.03</v>
      </c>
    </row>
    <row r="1449" spans="1:16" ht="25.2" customHeight="1" x14ac:dyDescent="0.4">
      <c r="A1449" s="642">
        <v>45773</v>
      </c>
      <c r="B1449" s="595" t="s">
        <v>390</v>
      </c>
      <c r="C1449" s="473"/>
      <c r="D1449" s="473"/>
      <c r="E1449" s="474"/>
      <c r="F1449" s="475"/>
      <c r="G1449" s="474"/>
      <c r="H1449" s="474"/>
      <c r="I1449" s="473">
        <v>20000</v>
      </c>
      <c r="J1449" s="473">
        <f>30000</f>
        <v>30000</v>
      </c>
      <c r="K1449" s="476" t="s">
        <v>775</v>
      </c>
      <c r="L1449" s="477" t="s">
        <v>769</v>
      </c>
      <c r="O1449" s="43"/>
    </row>
    <row r="1450" spans="1:16" ht="25.2" customHeight="1" x14ac:dyDescent="0.4">
      <c r="A1450" s="643"/>
      <c r="B1450" s="595" t="s">
        <v>390</v>
      </c>
      <c r="C1450" s="473">
        <v>50000</v>
      </c>
      <c r="D1450" s="473"/>
      <c r="E1450" s="474"/>
      <c r="F1450" s="475"/>
      <c r="G1450" s="474"/>
      <c r="H1450" s="474"/>
      <c r="I1450" s="473"/>
      <c r="J1450" s="473"/>
      <c r="K1450" s="476" t="s">
        <v>770</v>
      </c>
      <c r="L1450" s="477" t="s">
        <v>771</v>
      </c>
      <c r="O1450" s="43"/>
    </row>
    <row r="1451" spans="1:16" ht="25.2" customHeight="1" x14ac:dyDescent="0.4">
      <c r="A1451" s="593">
        <v>45774</v>
      </c>
      <c r="B1451" s="595" t="s">
        <v>390</v>
      </c>
      <c r="C1451" s="473"/>
      <c r="D1451" s="473"/>
      <c r="E1451" s="474"/>
      <c r="F1451" s="475"/>
      <c r="G1451" s="474"/>
      <c r="H1451" s="474"/>
      <c r="I1451" s="473">
        <v>20000</v>
      </c>
      <c r="J1451" s="473">
        <f>30000</f>
        <v>30000</v>
      </c>
      <c r="K1451" s="476" t="s">
        <v>776</v>
      </c>
      <c r="L1451" s="477" t="s">
        <v>769</v>
      </c>
      <c r="O1451" s="43"/>
    </row>
    <row r="1452" spans="1:16" ht="25.2" customHeight="1" x14ac:dyDescent="0.4">
      <c r="A1452" s="593">
        <v>45775</v>
      </c>
      <c r="B1452" s="595" t="s">
        <v>390</v>
      </c>
      <c r="C1452" s="473"/>
      <c r="D1452" s="473"/>
      <c r="E1452" s="474"/>
      <c r="F1452" s="475"/>
      <c r="G1452" s="474"/>
      <c r="H1452" s="474"/>
      <c r="I1452" s="473">
        <v>15000</v>
      </c>
      <c r="J1452" s="473">
        <f>30000</f>
        <v>30000</v>
      </c>
      <c r="K1452" s="476" t="s">
        <v>777</v>
      </c>
      <c r="L1452" s="477" t="s">
        <v>769</v>
      </c>
      <c r="O1452" s="43"/>
    </row>
    <row r="1453" spans="1:16" ht="25.2" customHeight="1" x14ac:dyDescent="0.4">
      <c r="A1453" s="642">
        <v>45776</v>
      </c>
      <c r="B1453" s="595" t="s">
        <v>390</v>
      </c>
      <c r="C1453" s="473"/>
      <c r="D1453" s="473"/>
      <c r="E1453" s="474">
        <f>10000+1800</f>
        <v>11800</v>
      </c>
      <c r="F1453" s="475"/>
      <c r="G1453" s="474"/>
      <c r="H1453" s="474"/>
      <c r="I1453" s="473"/>
      <c r="J1453" s="473"/>
      <c r="K1453" s="476" t="s">
        <v>770</v>
      </c>
      <c r="L1453" s="477" t="s">
        <v>784</v>
      </c>
      <c r="O1453" s="43"/>
    </row>
    <row r="1454" spans="1:16" ht="25.2" customHeight="1" x14ac:dyDescent="0.4">
      <c r="A1454" s="643"/>
      <c r="B1454" s="595" t="s">
        <v>390</v>
      </c>
      <c r="C1454" s="473"/>
      <c r="D1454" s="473"/>
      <c r="E1454" s="474"/>
      <c r="F1454" s="475"/>
      <c r="G1454" s="474"/>
      <c r="H1454" s="474"/>
      <c r="I1454" s="473">
        <v>15000</v>
      </c>
      <c r="J1454" s="473">
        <f>30000</f>
        <v>30000</v>
      </c>
      <c r="K1454" s="476" t="s">
        <v>778</v>
      </c>
      <c r="L1454" s="477" t="s">
        <v>769</v>
      </c>
      <c r="O1454" s="43"/>
    </row>
    <row r="1455" spans="1:16" ht="24.6" customHeight="1" x14ac:dyDescent="0.4">
      <c r="A1455" s="644"/>
      <c r="B1455" s="595" t="s">
        <v>390</v>
      </c>
      <c r="C1455" s="473"/>
      <c r="D1455" s="473"/>
      <c r="E1455" s="474"/>
      <c r="F1455" s="475">
        <f>O1455*N1455/9</f>
        <v>15899.99999999998</v>
      </c>
      <c r="G1455" s="474"/>
      <c r="H1455" s="474"/>
      <c r="I1455" s="473"/>
      <c r="J1455" s="473"/>
      <c r="K1455" s="476"/>
      <c r="L1455" s="594" t="s">
        <v>781</v>
      </c>
      <c r="N1455" s="1">
        <f>184.047896182067/2</f>
        <v>92.023948091033503</v>
      </c>
      <c r="O1455" s="43">
        <v>1555.03</v>
      </c>
    </row>
    <row r="1456" spans="1:16" ht="25.2" customHeight="1" x14ac:dyDescent="0.4">
      <c r="A1456" s="642">
        <v>45779</v>
      </c>
      <c r="B1456" s="595" t="s">
        <v>390</v>
      </c>
      <c r="C1456" s="473"/>
      <c r="D1456" s="473"/>
      <c r="E1456" s="474">
        <f>10000+2500+2500+2000</f>
        <v>17000</v>
      </c>
      <c r="F1456" s="475"/>
      <c r="G1456" s="474"/>
      <c r="H1456" s="474"/>
      <c r="I1456" s="473"/>
      <c r="J1456" s="473"/>
      <c r="K1456" s="476" t="s">
        <v>770</v>
      </c>
      <c r="L1456" s="477" t="s">
        <v>783</v>
      </c>
      <c r="O1456" s="43"/>
    </row>
    <row r="1457" spans="1:16" ht="25.2" customHeight="1" x14ac:dyDescent="0.4">
      <c r="A1457" s="643"/>
      <c r="B1457" s="595" t="s">
        <v>390</v>
      </c>
      <c r="C1457" s="473"/>
      <c r="D1457" s="473"/>
      <c r="E1457" s="474"/>
      <c r="F1457" s="475"/>
      <c r="G1457" s="474"/>
      <c r="H1457" s="474"/>
      <c r="I1457" s="473">
        <v>20000</v>
      </c>
      <c r="J1457" s="473">
        <f>30000</f>
        <v>30000</v>
      </c>
      <c r="K1457" s="476" t="s">
        <v>773</v>
      </c>
      <c r="L1457" s="477" t="s">
        <v>769</v>
      </c>
      <c r="O1457" s="43"/>
    </row>
    <row r="1458" spans="1:16" ht="24.6" customHeight="1" x14ac:dyDescent="0.4">
      <c r="A1458" s="644"/>
      <c r="B1458" s="595" t="s">
        <v>390</v>
      </c>
      <c r="C1458" s="473"/>
      <c r="D1458" s="473"/>
      <c r="E1458" s="474"/>
      <c r="F1458" s="475">
        <f>O1458*N1458/9</f>
        <v>15499.999999999996</v>
      </c>
      <c r="G1458" s="474"/>
      <c r="H1458" s="474"/>
      <c r="I1458" s="473"/>
      <c r="J1458" s="473"/>
      <c r="K1458" s="476" t="s">
        <v>773</v>
      </c>
      <c r="L1458" s="594" t="s">
        <v>782</v>
      </c>
      <c r="N1458" s="1">
        <v>92.188129869614912</v>
      </c>
      <c r="O1458" s="366">
        <v>1513.21</v>
      </c>
    </row>
    <row r="1459" spans="1:16" ht="25.2" customHeight="1" x14ac:dyDescent="0.4">
      <c r="A1459" s="593">
        <v>45780</v>
      </c>
      <c r="B1459" s="595" t="s">
        <v>390</v>
      </c>
      <c r="C1459" s="473"/>
      <c r="D1459" s="473"/>
      <c r="E1459" s="474"/>
      <c r="F1459" s="475"/>
      <c r="G1459" s="474"/>
      <c r="H1459" s="474"/>
      <c r="I1459" s="473">
        <v>20000</v>
      </c>
      <c r="J1459" s="473">
        <f>30000</f>
        <v>30000</v>
      </c>
      <c r="K1459" s="476" t="s">
        <v>778</v>
      </c>
      <c r="L1459" s="477" t="s">
        <v>769</v>
      </c>
      <c r="O1459" s="43"/>
    </row>
    <row r="1460" spans="1:16" ht="25.2" customHeight="1" x14ac:dyDescent="0.4">
      <c r="A1460" s="593">
        <v>45781</v>
      </c>
      <c r="B1460" s="595" t="s">
        <v>390</v>
      </c>
      <c r="C1460" s="473"/>
      <c r="D1460" s="473"/>
      <c r="E1460" s="474"/>
      <c r="F1460" s="475"/>
      <c r="G1460" s="474"/>
      <c r="H1460" s="474"/>
      <c r="I1460" s="473">
        <v>20000</v>
      </c>
      <c r="J1460" s="473">
        <f>30000</f>
        <v>30000</v>
      </c>
      <c r="K1460" s="476" t="s">
        <v>773</v>
      </c>
      <c r="L1460" s="477" t="s">
        <v>769</v>
      </c>
      <c r="O1460" s="43"/>
    </row>
    <row r="1461" spans="1:16" ht="25.2" customHeight="1" x14ac:dyDescent="0.4">
      <c r="A1461" s="642">
        <v>45782</v>
      </c>
      <c r="B1461" s="595" t="s">
        <v>390</v>
      </c>
      <c r="C1461" s="473"/>
      <c r="D1461" s="473"/>
      <c r="E1461" s="474">
        <f>8000+1400</f>
        <v>9400</v>
      </c>
      <c r="F1461" s="475"/>
      <c r="G1461" s="474"/>
      <c r="H1461" s="474"/>
      <c r="I1461" s="473"/>
      <c r="J1461" s="473"/>
      <c r="K1461" s="476" t="s">
        <v>770</v>
      </c>
      <c r="L1461" s="477" t="s">
        <v>787</v>
      </c>
      <c r="O1461" s="43"/>
    </row>
    <row r="1462" spans="1:16" ht="25.2" customHeight="1" x14ac:dyDescent="0.4">
      <c r="A1462" s="643"/>
      <c r="B1462" s="595" t="s">
        <v>390</v>
      </c>
      <c r="C1462" s="473"/>
      <c r="D1462" s="473"/>
      <c r="E1462" s="474"/>
      <c r="F1462" s="475"/>
      <c r="G1462" s="474"/>
      <c r="H1462" s="474"/>
      <c r="I1462" s="473">
        <v>20000</v>
      </c>
      <c r="J1462" s="473">
        <f>30000</f>
        <v>30000</v>
      </c>
      <c r="K1462" s="476" t="s">
        <v>773</v>
      </c>
      <c r="L1462" s="477" t="s">
        <v>769</v>
      </c>
      <c r="O1462" s="43"/>
    </row>
    <row r="1463" spans="1:16" ht="24.6" customHeight="1" x14ac:dyDescent="0.4">
      <c r="A1463" s="644"/>
      <c r="B1463" s="595" t="s">
        <v>390</v>
      </c>
      <c r="C1463" s="473"/>
      <c r="D1463" s="473"/>
      <c r="E1463" s="474"/>
      <c r="F1463" s="475">
        <f>O1463*N1463/9</f>
        <v>30600</v>
      </c>
      <c r="G1463" s="474"/>
      <c r="H1463" s="474"/>
      <c r="I1463" s="473"/>
      <c r="J1463" s="473"/>
      <c r="K1463" s="476" t="s">
        <v>774</v>
      </c>
      <c r="L1463" s="594" t="s">
        <v>786</v>
      </c>
      <c r="N1463" s="1">
        <v>181.99721122646559</v>
      </c>
      <c r="O1463" s="366">
        <f>O1458</f>
        <v>1513.21</v>
      </c>
    </row>
    <row r="1464" spans="1:16" ht="25.2" customHeight="1" x14ac:dyDescent="0.4">
      <c r="A1464" s="645" t="s">
        <v>17</v>
      </c>
      <c r="B1464" s="645"/>
      <c r="C1464" s="474">
        <f>SUM(C1442:C1463)</f>
        <v>100000</v>
      </c>
      <c r="D1464" s="474">
        <f>SUM(D1442:D1463)</f>
        <v>0</v>
      </c>
      <c r="E1464" s="474">
        <f>SUM(E1442:E1463)</f>
        <v>70900</v>
      </c>
      <c r="F1464" s="474">
        <f>ROUNDDOWN(SUM(F1442:H1463),0)</f>
        <v>109700</v>
      </c>
      <c r="G1464" s="474" t="e">
        <f>SUM(#REF!)</f>
        <v>#REF!</v>
      </c>
      <c r="H1464" s="474" t="e">
        <f>SUM(#REF!)</f>
        <v>#REF!</v>
      </c>
      <c r="I1464" s="474">
        <f>SUM(I1442:I1463)</f>
        <v>180000</v>
      </c>
      <c r="J1464" s="474">
        <f>SUM(J1442:J1463)</f>
        <v>300000</v>
      </c>
      <c r="K1464" s="476"/>
      <c r="L1464" s="599" t="s">
        <v>779</v>
      </c>
    </row>
    <row r="1465" spans="1:16" ht="25.2" customHeight="1" x14ac:dyDescent="0.4">
      <c r="A1465" s="646" t="s">
        <v>18</v>
      </c>
      <c r="B1465" s="646"/>
      <c r="C1465" s="647">
        <f>C1464+D1464+E1464+F1464+I1464+J1464</f>
        <v>760600</v>
      </c>
      <c r="D1465" s="647"/>
      <c r="E1465" s="647"/>
      <c r="F1465" s="647"/>
      <c r="G1465" s="647"/>
      <c r="H1465" s="647"/>
      <c r="I1465" s="647"/>
      <c r="J1465" s="647"/>
      <c r="K1465" s="481"/>
      <c r="L1465" s="600" t="s">
        <v>780</v>
      </c>
    </row>
    <row r="1467" spans="1:16" ht="25.2" customHeight="1" x14ac:dyDescent="0.4">
      <c r="B1467" s="1">
        <v>68.099999999999994</v>
      </c>
    </row>
    <row r="1469" spans="1:16" ht="25.2" customHeight="1" x14ac:dyDescent="0.4">
      <c r="A1469" s="471" t="s">
        <v>0</v>
      </c>
      <c r="B1469" s="471" t="s">
        <v>1</v>
      </c>
      <c r="C1469" s="471" t="s">
        <v>4</v>
      </c>
      <c r="D1469" s="471" t="s">
        <v>287</v>
      </c>
      <c r="E1469" s="471" t="s">
        <v>74</v>
      </c>
      <c r="F1469" s="471" t="s">
        <v>3</v>
      </c>
      <c r="G1469" s="471" t="s">
        <v>4</v>
      </c>
      <c r="H1469" s="471" t="s">
        <v>5</v>
      </c>
      <c r="I1469" s="471" t="s">
        <v>6</v>
      </c>
      <c r="J1469" s="471" t="s">
        <v>7</v>
      </c>
      <c r="K1469" s="471" t="s">
        <v>60</v>
      </c>
      <c r="L1469" s="471" t="s">
        <v>8</v>
      </c>
      <c r="O1469" s="43">
        <v>1513.21</v>
      </c>
      <c r="P1469" s="43"/>
    </row>
    <row r="1470" spans="1:16" ht="25.2" customHeight="1" x14ac:dyDescent="0.4">
      <c r="A1470" s="642">
        <v>45785</v>
      </c>
      <c r="B1470" s="598" t="s">
        <v>390</v>
      </c>
      <c r="C1470" s="473"/>
      <c r="D1470" s="473"/>
      <c r="E1470" s="474">
        <f>1600+1800</f>
        <v>3400</v>
      </c>
      <c r="F1470" s="475"/>
      <c r="G1470" s="474"/>
      <c r="H1470" s="474"/>
      <c r="I1470" s="473"/>
      <c r="J1470" s="473"/>
      <c r="K1470" s="476" t="s">
        <v>693</v>
      </c>
      <c r="L1470" s="477" t="s">
        <v>734</v>
      </c>
      <c r="O1470" s="43"/>
    </row>
    <row r="1471" spans="1:16" ht="25.2" customHeight="1" x14ac:dyDescent="0.4">
      <c r="A1471" s="643"/>
      <c r="B1471" s="598" t="s">
        <v>390</v>
      </c>
      <c r="C1471" s="473"/>
      <c r="D1471" s="473">
        <v>6750</v>
      </c>
      <c r="E1471" s="474"/>
      <c r="F1471" s="475"/>
      <c r="G1471" s="474"/>
      <c r="H1471" s="474"/>
      <c r="I1471" s="473"/>
      <c r="J1471" s="473"/>
      <c r="K1471" s="476" t="s">
        <v>788</v>
      </c>
      <c r="L1471" s="477"/>
      <c r="O1471" s="43"/>
    </row>
    <row r="1472" spans="1:16" ht="24.6" customHeight="1" x14ac:dyDescent="0.4">
      <c r="A1472" s="644"/>
      <c r="B1472" s="598" t="s">
        <v>390</v>
      </c>
      <c r="C1472" s="473"/>
      <c r="D1472" s="473"/>
      <c r="E1472" s="474"/>
      <c r="F1472" s="475">
        <f>O1472*N1472/9</f>
        <v>11500</v>
      </c>
      <c r="G1472" s="474"/>
      <c r="H1472" s="474"/>
      <c r="I1472" s="473"/>
      <c r="J1472" s="473"/>
      <c r="K1472" s="476" t="s">
        <v>63</v>
      </c>
      <c r="L1472" s="597" t="s">
        <v>789</v>
      </c>
      <c r="N1472" s="1">
        <v>68.397644741972357</v>
      </c>
      <c r="O1472" s="366">
        <f>O1469</f>
        <v>1513.21</v>
      </c>
    </row>
    <row r="1473" spans="1:16" ht="25.2" customHeight="1" x14ac:dyDescent="0.4">
      <c r="A1473" s="645" t="s">
        <v>17</v>
      </c>
      <c r="B1473" s="645"/>
      <c r="C1473" s="474">
        <f>SUM(C1470:C1472)</f>
        <v>0</v>
      </c>
      <c r="D1473" s="474">
        <f>SUM(D1470:D1472)</f>
        <v>6750</v>
      </c>
      <c r="E1473" s="474">
        <f>SUM(E1470:E1472)</f>
        <v>3400</v>
      </c>
      <c r="F1473" s="474">
        <f>ROUNDDOWN(SUM(F1470:F1472),0)</f>
        <v>11500</v>
      </c>
      <c r="G1473" s="474" t="e">
        <f>SUM(#REF!)</f>
        <v>#REF!</v>
      </c>
      <c r="H1473" s="474" t="e">
        <f>SUM(#REF!)</f>
        <v>#REF!</v>
      </c>
      <c r="I1473" s="474">
        <f>SUM(I1470:I1472)</f>
        <v>0</v>
      </c>
      <c r="J1473" s="474">
        <f>SUM(J1470:J1472)</f>
        <v>0</v>
      </c>
      <c r="K1473" s="476" t="s">
        <v>63</v>
      </c>
      <c r="L1473" s="597" t="s">
        <v>736</v>
      </c>
    </row>
    <row r="1474" spans="1:16" ht="25.2" customHeight="1" x14ac:dyDescent="0.4">
      <c r="A1474" s="646" t="s">
        <v>18</v>
      </c>
      <c r="B1474" s="646"/>
      <c r="C1474" s="647">
        <f>C1473+D1473+E1473+F1473+I1473+J1473</f>
        <v>21650</v>
      </c>
      <c r="D1474" s="647"/>
      <c r="E1474" s="647"/>
      <c r="F1474" s="647"/>
      <c r="G1474" s="647"/>
      <c r="H1474" s="647"/>
      <c r="I1474" s="647"/>
      <c r="J1474" s="647"/>
      <c r="K1474" s="481"/>
      <c r="L1474" s="596"/>
    </row>
    <row r="1477" spans="1:16" ht="25.2" customHeight="1" x14ac:dyDescent="0.4">
      <c r="A1477" s="471" t="s">
        <v>0</v>
      </c>
      <c r="B1477" s="471" t="s">
        <v>1</v>
      </c>
      <c r="C1477" s="471" t="s">
        <v>4</v>
      </c>
      <c r="D1477" s="471" t="s">
        <v>287</v>
      </c>
      <c r="E1477" s="471" t="s">
        <v>74</v>
      </c>
      <c r="F1477" s="471" t="s">
        <v>3</v>
      </c>
      <c r="G1477" s="471" t="s">
        <v>4</v>
      </c>
      <c r="H1477" s="471" t="s">
        <v>5</v>
      </c>
      <c r="I1477" s="471" t="s">
        <v>6</v>
      </c>
      <c r="J1477" s="471" t="s">
        <v>7</v>
      </c>
      <c r="K1477" s="471" t="s">
        <v>60</v>
      </c>
      <c r="L1477" s="471" t="s">
        <v>8</v>
      </c>
      <c r="O1477" s="43">
        <v>1513.21</v>
      </c>
      <c r="P1477" s="43"/>
    </row>
    <row r="1478" spans="1:16" ht="25.2" customHeight="1" x14ac:dyDescent="0.4">
      <c r="A1478" s="642">
        <v>45789</v>
      </c>
      <c r="B1478" s="602" t="s">
        <v>390</v>
      </c>
      <c r="C1478" s="473"/>
      <c r="D1478" s="473"/>
      <c r="E1478" s="474">
        <f>750+10000+10000+1500</f>
        <v>22250</v>
      </c>
      <c r="F1478" s="475"/>
      <c r="G1478" s="474"/>
      <c r="H1478" s="474"/>
      <c r="I1478" s="473"/>
      <c r="J1478" s="473"/>
      <c r="K1478" s="476" t="s">
        <v>61</v>
      </c>
      <c r="L1478" s="477" t="s">
        <v>791</v>
      </c>
      <c r="O1478" s="43"/>
    </row>
    <row r="1479" spans="1:16" ht="25.2" customHeight="1" x14ac:dyDescent="0.4">
      <c r="A1479" s="643"/>
      <c r="B1479" s="602" t="s">
        <v>390</v>
      </c>
      <c r="C1479" s="473"/>
      <c r="D1479" s="473"/>
      <c r="E1479" s="474"/>
      <c r="F1479" s="475"/>
      <c r="G1479" s="474"/>
      <c r="H1479" s="474"/>
      <c r="I1479" s="473"/>
      <c r="J1479" s="473">
        <v>36000</v>
      </c>
      <c r="K1479" s="476" t="s">
        <v>790</v>
      </c>
      <c r="L1479" s="477" t="s">
        <v>793</v>
      </c>
      <c r="O1479" s="43"/>
    </row>
    <row r="1480" spans="1:16" ht="24.6" customHeight="1" x14ac:dyDescent="0.4">
      <c r="A1480" s="644"/>
      <c r="B1480" s="602" t="s">
        <v>390</v>
      </c>
      <c r="C1480" s="473"/>
      <c r="D1480" s="473"/>
      <c r="E1480" s="474"/>
      <c r="F1480" s="475">
        <f>O1480*N1480/9</f>
        <v>30600</v>
      </c>
      <c r="G1480" s="474"/>
      <c r="H1480" s="474"/>
      <c r="I1480" s="473"/>
      <c r="J1480" s="473"/>
      <c r="K1480" s="476" t="s">
        <v>63</v>
      </c>
      <c r="L1480" s="601" t="s">
        <v>792</v>
      </c>
      <c r="N1480" s="1">
        <v>181.99721122646559</v>
      </c>
      <c r="O1480" s="366">
        <f>O1477</f>
        <v>1513.21</v>
      </c>
    </row>
    <row r="1481" spans="1:16" ht="25.2" customHeight="1" x14ac:dyDescent="0.4">
      <c r="A1481" s="645" t="s">
        <v>17</v>
      </c>
      <c r="B1481" s="645"/>
      <c r="C1481" s="474">
        <f>SUM(C1478:C1480)</f>
        <v>0</v>
      </c>
      <c r="D1481" s="474">
        <f>SUM(D1478:D1480)</f>
        <v>0</v>
      </c>
      <c r="E1481" s="474">
        <f>SUM(E1478:E1480)</f>
        <v>22250</v>
      </c>
      <c r="F1481" s="474">
        <f>ROUNDDOWN(SUM(F1478:H1480),0)</f>
        <v>30600</v>
      </c>
      <c r="G1481" s="474" t="e">
        <f>SUM(#REF!)</f>
        <v>#REF!</v>
      </c>
      <c r="H1481" s="474" t="e">
        <f>SUM(#REF!)</f>
        <v>#REF!</v>
      </c>
      <c r="I1481" s="474">
        <f>SUM(I1478:I1480)</f>
        <v>0</v>
      </c>
      <c r="J1481" s="474">
        <f>SUM(J1478:J1480)</f>
        <v>36000</v>
      </c>
      <c r="K1481" s="476"/>
      <c r="L1481" s="599" t="s">
        <v>780</v>
      </c>
    </row>
    <row r="1482" spans="1:16" ht="25.2" customHeight="1" x14ac:dyDescent="0.4">
      <c r="A1482" s="646" t="s">
        <v>18</v>
      </c>
      <c r="B1482" s="646"/>
      <c r="C1482" s="647">
        <f>C1481+D1481+E1481+F1481+I1481+J1481</f>
        <v>88850</v>
      </c>
      <c r="D1482" s="647"/>
      <c r="E1482" s="647"/>
      <c r="F1482" s="647"/>
      <c r="G1482" s="647"/>
      <c r="H1482" s="647"/>
      <c r="I1482" s="647"/>
      <c r="J1482" s="647"/>
      <c r="K1482" s="481"/>
      <c r="L1482" s="600"/>
    </row>
    <row r="1484" spans="1:16" ht="25.2" customHeight="1" x14ac:dyDescent="0.4">
      <c r="A1484" s="471" t="s">
        <v>0</v>
      </c>
      <c r="B1484" s="471" t="s">
        <v>1</v>
      </c>
      <c r="C1484" s="471" t="s">
        <v>794</v>
      </c>
      <c r="D1484" s="471" t="s">
        <v>287</v>
      </c>
      <c r="E1484" s="471" t="s">
        <v>74</v>
      </c>
      <c r="F1484" s="471" t="s">
        <v>3</v>
      </c>
      <c r="G1484" s="471" t="s">
        <v>4</v>
      </c>
      <c r="H1484" s="471" t="s">
        <v>5</v>
      </c>
      <c r="I1484" s="471" t="s">
        <v>6</v>
      </c>
      <c r="J1484" s="471" t="s">
        <v>7</v>
      </c>
      <c r="K1484" s="471" t="s">
        <v>60</v>
      </c>
      <c r="L1484" s="471" t="s">
        <v>8</v>
      </c>
      <c r="O1484" s="43">
        <v>1513.21</v>
      </c>
      <c r="P1484" s="43"/>
    </row>
    <row r="1485" spans="1:16" ht="25.2" customHeight="1" x14ac:dyDescent="0.4">
      <c r="A1485" s="642">
        <v>45800</v>
      </c>
      <c r="B1485" s="604" t="s">
        <v>390</v>
      </c>
      <c r="C1485" s="473">
        <v>4000</v>
      </c>
      <c r="D1485" s="473"/>
      <c r="E1485" s="474"/>
      <c r="F1485" s="475"/>
      <c r="G1485" s="474"/>
      <c r="H1485" s="474"/>
      <c r="I1485" s="473"/>
      <c r="J1485" s="473"/>
      <c r="K1485" s="476" t="s">
        <v>61</v>
      </c>
      <c r="L1485" s="477" t="s">
        <v>797</v>
      </c>
      <c r="O1485" s="43"/>
    </row>
    <row r="1486" spans="1:16" ht="25.2" customHeight="1" x14ac:dyDescent="0.4">
      <c r="A1486" s="643"/>
      <c r="B1486" s="604" t="s">
        <v>390</v>
      </c>
      <c r="C1486" s="473">
        <v>4000</v>
      </c>
      <c r="D1486" s="473"/>
      <c r="E1486" s="474"/>
      <c r="F1486" s="475"/>
      <c r="G1486" s="474"/>
      <c r="H1486" s="474"/>
      <c r="I1486" s="473"/>
      <c r="J1486" s="473"/>
      <c r="K1486" s="476" t="s">
        <v>795</v>
      </c>
      <c r="L1486" s="477" t="s">
        <v>796</v>
      </c>
      <c r="O1486" s="43"/>
    </row>
    <row r="1487" spans="1:16" ht="24.6" customHeight="1" x14ac:dyDescent="0.4">
      <c r="A1487" s="644"/>
      <c r="B1487" s="604" t="s">
        <v>390</v>
      </c>
      <c r="C1487" s="473"/>
      <c r="D1487" s="473"/>
      <c r="E1487" s="474"/>
      <c r="F1487" s="475"/>
      <c r="G1487" s="474"/>
      <c r="H1487" s="474"/>
      <c r="I1487" s="473"/>
      <c r="J1487" s="473"/>
      <c r="K1487" s="476" t="s">
        <v>63</v>
      </c>
      <c r="L1487" s="603" t="s">
        <v>798</v>
      </c>
      <c r="N1487" s="1">
        <v>181.99721122646559</v>
      </c>
      <c r="O1487" s="366">
        <f>O1484</f>
        <v>1513.21</v>
      </c>
    </row>
    <row r="1488" spans="1:16" ht="25.2" customHeight="1" x14ac:dyDescent="0.4">
      <c r="A1488" s="645" t="s">
        <v>17</v>
      </c>
      <c r="B1488" s="645"/>
      <c r="C1488" s="474">
        <f>SUM(C1485:C1487)</f>
        <v>8000</v>
      </c>
      <c r="D1488" s="474">
        <f>SUM(D1485:D1487)</f>
        <v>0</v>
      </c>
      <c r="E1488" s="474">
        <f>SUM(E1485:E1487)</f>
        <v>0</v>
      </c>
      <c r="F1488" s="474">
        <f>ROUNDDOWN(SUM(F1485:H1487),0)</f>
        <v>0</v>
      </c>
      <c r="G1488" s="474" t="e">
        <f>SUM(#REF!)</f>
        <v>#REF!</v>
      </c>
      <c r="H1488" s="474" t="e">
        <f>SUM(#REF!)</f>
        <v>#REF!</v>
      </c>
      <c r="I1488" s="474">
        <f>SUM(I1485:I1487)</f>
        <v>0</v>
      </c>
      <c r="J1488" s="474">
        <f>SUM(J1485:J1487)</f>
        <v>0</v>
      </c>
      <c r="K1488" s="476"/>
      <c r="L1488" s="599" t="s">
        <v>780</v>
      </c>
    </row>
    <row r="1489" spans="1:16" ht="25.2" customHeight="1" x14ac:dyDescent="0.4">
      <c r="A1489" s="646" t="s">
        <v>18</v>
      </c>
      <c r="B1489" s="646"/>
      <c r="C1489" s="647">
        <f>C1488+D1488+E1488+F1488+I1488+J1488</f>
        <v>8000</v>
      </c>
      <c r="D1489" s="647"/>
      <c r="E1489" s="647"/>
      <c r="F1489" s="647"/>
      <c r="G1489" s="647"/>
      <c r="H1489" s="647"/>
      <c r="I1489" s="647"/>
      <c r="J1489" s="647"/>
      <c r="K1489" s="481"/>
      <c r="L1489" s="600"/>
    </row>
    <row r="1492" spans="1:16" ht="25.2" customHeight="1" x14ac:dyDescent="0.4">
      <c r="A1492" s="471" t="s">
        <v>0</v>
      </c>
      <c r="B1492" s="471" t="s">
        <v>1</v>
      </c>
      <c r="C1492" s="471" t="s">
        <v>4</v>
      </c>
      <c r="D1492" s="471" t="s">
        <v>287</v>
      </c>
      <c r="E1492" s="471" t="s">
        <v>74</v>
      </c>
      <c r="F1492" s="471" t="s">
        <v>3</v>
      </c>
      <c r="G1492" s="471" t="s">
        <v>4</v>
      </c>
      <c r="H1492" s="471" t="s">
        <v>5</v>
      </c>
      <c r="I1492" s="471" t="s">
        <v>6</v>
      </c>
      <c r="J1492" s="471" t="s">
        <v>7</v>
      </c>
      <c r="K1492" s="471" t="s">
        <v>60</v>
      </c>
      <c r="L1492" s="471" t="s">
        <v>8</v>
      </c>
      <c r="O1492" s="43">
        <v>1502.15</v>
      </c>
      <c r="P1492" s="43"/>
    </row>
    <row r="1493" spans="1:16" ht="25.2" customHeight="1" x14ac:dyDescent="0.4">
      <c r="A1493" s="642">
        <v>45813</v>
      </c>
      <c r="B1493" s="607" t="s">
        <v>390</v>
      </c>
      <c r="C1493" s="473"/>
      <c r="D1493" s="473"/>
      <c r="E1493" s="474">
        <f>1800+10000</f>
        <v>11800</v>
      </c>
      <c r="F1493" s="475"/>
      <c r="G1493" s="474"/>
      <c r="H1493" s="474"/>
      <c r="I1493" s="473"/>
      <c r="J1493" s="473"/>
      <c r="K1493" s="476" t="s">
        <v>61</v>
      </c>
      <c r="L1493" s="477" t="s">
        <v>711</v>
      </c>
      <c r="O1493" s="43"/>
    </row>
    <row r="1494" spans="1:16" ht="25.2" customHeight="1" x14ac:dyDescent="0.4">
      <c r="A1494" s="643"/>
      <c r="B1494" s="607" t="s">
        <v>390</v>
      </c>
      <c r="C1494" s="473"/>
      <c r="D1494" s="473"/>
      <c r="E1494" s="474"/>
      <c r="F1494" s="475"/>
      <c r="G1494" s="474"/>
      <c r="H1494" s="474"/>
      <c r="I1494" s="473">
        <v>7500</v>
      </c>
      <c r="J1494" s="473">
        <f>15000</f>
        <v>15000</v>
      </c>
      <c r="K1494" s="476" t="s">
        <v>63</v>
      </c>
      <c r="L1494" s="477" t="s">
        <v>769</v>
      </c>
      <c r="O1494" s="43"/>
    </row>
    <row r="1495" spans="1:16" ht="24.6" customHeight="1" x14ac:dyDescent="0.4">
      <c r="A1495" s="644"/>
      <c r="B1495" s="607" t="s">
        <v>390</v>
      </c>
      <c r="C1495" s="473"/>
      <c r="D1495" s="473"/>
      <c r="E1495" s="474"/>
      <c r="F1495" s="475">
        <f>O1495*N1495/9</f>
        <v>30800</v>
      </c>
      <c r="G1495" s="474"/>
      <c r="H1495" s="474"/>
      <c r="I1495" s="473"/>
      <c r="J1495" s="473"/>
      <c r="K1495" s="476"/>
      <c r="L1495" s="606" t="s">
        <v>799</v>
      </c>
      <c r="N1495" s="1">
        <v>184.53549911793095</v>
      </c>
      <c r="O1495" s="366">
        <f>O1492</f>
        <v>1502.15</v>
      </c>
    </row>
    <row r="1496" spans="1:16" ht="25.2" customHeight="1" x14ac:dyDescent="0.4">
      <c r="A1496" s="605">
        <v>45814</v>
      </c>
      <c r="B1496" s="607" t="s">
        <v>390</v>
      </c>
      <c r="C1496" s="473"/>
      <c r="D1496" s="473"/>
      <c r="E1496" s="474"/>
      <c r="F1496" s="475"/>
      <c r="G1496" s="474"/>
      <c r="H1496" s="474"/>
      <c r="I1496" s="473">
        <v>20000</v>
      </c>
      <c r="J1496" s="473">
        <f>30000</f>
        <v>30000</v>
      </c>
      <c r="K1496" s="476" t="s">
        <v>63</v>
      </c>
      <c r="L1496" s="477" t="s">
        <v>769</v>
      </c>
      <c r="O1496" s="43"/>
    </row>
    <row r="1497" spans="1:16" ht="25.2" customHeight="1" x14ac:dyDescent="0.4">
      <c r="A1497" s="605">
        <v>45815</v>
      </c>
      <c r="B1497" s="607" t="s">
        <v>390</v>
      </c>
      <c r="C1497" s="473"/>
      <c r="D1497" s="473"/>
      <c r="E1497" s="474"/>
      <c r="F1497" s="475"/>
      <c r="G1497" s="474"/>
      <c r="H1497" s="474"/>
      <c r="I1497" s="473">
        <v>20000</v>
      </c>
      <c r="J1497" s="473">
        <f>30000</f>
        <v>30000</v>
      </c>
      <c r="K1497" s="476" t="s">
        <v>63</v>
      </c>
      <c r="L1497" s="477" t="s">
        <v>769</v>
      </c>
      <c r="O1497" s="43"/>
    </row>
    <row r="1498" spans="1:16" ht="25.2" customHeight="1" x14ac:dyDescent="0.4">
      <c r="A1498" s="642">
        <v>45816</v>
      </c>
      <c r="B1498" s="607" t="s">
        <v>390</v>
      </c>
      <c r="C1498" s="473"/>
      <c r="D1498" s="473"/>
      <c r="E1498" s="474">
        <f>1500+8000</f>
        <v>9500</v>
      </c>
      <c r="F1498" s="475"/>
      <c r="G1498" s="474"/>
      <c r="H1498" s="474"/>
      <c r="I1498" s="473"/>
      <c r="J1498" s="473"/>
      <c r="K1498" s="476" t="s">
        <v>61</v>
      </c>
      <c r="L1498" s="477" t="s">
        <v>785</v>
      </c>
      <c r="O1498" s="43"/>
    </row>
    <row r="1499" spans="1:16" ht="25.2" customHeight="1" x14ac:dyDescent="0.4">
      <c r="A1499" s="643"/>
      <c r="B1499" s="607" t="s">
        <v>390</v>
      </c>
      <c r="C1499" s="473"/>
      <c r="D1499" s="473"/>
      <c r="E1499" s="474"/>
      <c r="F1499" s="475"/>
      <c r="G1499" s="474"/>
      <c r="H1499" s="474"/>
      <c r="I1499" s="473">
        <v>10000</v>
      </c>
      <c r="J1499" s="473">
        <v>15000</v>
      </c>
      <c r="K1499" s="476" t="s">
        <v>63</v>
      </c>
      <c r="L1499" s="477" t="s">
        <v>769</v>
      </c>
      <c r="O1499" s="43"/>
    </row>
    <row r="1500" spans="1:16" ht="24.6" customHeight="1" x14ac:dyDescent="0.4">
      <c r="A1500" s="644"/>
      <c r="B1500" s="607" t="s">
        <v>390</v>
      </c>
      <c r="C1500" s="473"/>
      <c r="D1500" s="473"/>
      <c r="E1500" s="474"/>
      <c r="F1500" s="475">
        <f>O1500*N1500/9</f>
        <v>30800</v>
      </c>
      <c r="G1500" s="474"/>
      <c r="H1500" s="474"/>
      <c r="I1500" s="473"/>
      <c r="J1500" s="473"/>
      <c r="K1500" s="476" t="s">
        <v>63</v>
      </c>
      <c r="L1500" s="606" t="s">
        <v>799</v>
      </c>
      <c r="N1500" s="1">
        <v>184.53549911793095</v>
      </c>
      <c r="O1500" s="366">
        <f>O1495</f>
        <v>1502.15</v>
      </c>
    </row>
    <row r="1501" spans="1:16" ht="25.2" customHeight="1" x14ac:dyDescent="0.4">
      <c r="A1501" s="645" t="s">
        <v>17</v>
      </c>
      <c r="B1501" s="645"/>
      <c r="C1501" s="474">
        <f>SUM(C1493:C1500)</f>
        <v>0</v>
      </c>
      <c r="D1501" s="474">
        <f>SUM(D1493:D1500)</f>
        <v>0</v>
      </c>
      <c r="E1501" s="474">
        <f>SUM(E1493:E1500)</f>
        <v>21300</v>
      </c>
      <c r="F1501" s="474">
        <f>ROUNDDOWN(SUM(F1493:H1500),0)</f>
        <v>61600</v>
      </c>
      <c r="G1501" s="474" t="e">
        <f>SUM(#REF!)</f>
        <v>#REF!</v>
      </c>
      <c r="H1501" s="474" t="e">
        <f>SUM(#REF!)</f>
        <v>#REF!</v>
      </c>
      <c r="I1501" s="474">
        <f>SUM(I1493:I1500)</f>
        <v>57500</v>
      </c>
      <c r="J1501" s="474">
        <f>SUM(J1493:J1500)</f>
        <v>90000</v>
      </c>
      <c r="K1501" s="476"/>
      <c r="L1501" s="599"/>
    </row>
    <row r="1502" spans="1:16" ht="25.2" customHeight="1" x14ac:dyDescent="0.4">
      <c r="A1502" s="646" t="s">
        <v>18</v>
      </c>
      <c r="B1502" s="646"/>
      <c r="C1502" s="647">
        <f>C1501+D1501+E1501+F1501+I1501+J1501</f>
        <v>230400</v>
      </c>
      <c r="D1502" s="647"/>
      <c r="E1502" s="647"/>
      <c r="F1502" s="647"/>
      <c r="G1502" s="647"/>
      <c r="H1502" s="647"/>
      <c r="I1502" s="647"/>
      <c r="J1502" s="647"/>
      <c r="K1502" s="481"/>
      <c r="L1502" s="600" t="s">
        <v>800</v>
      </c>
    </row>
    <row r="1504" spans="1:16" ht="25.2" customHeight="1" x14ac:dyDescent="0.4">
      <c r="A1504" s="471" t="s">
        <v>0</v>
      </c>
      <c r="B1504" s="471" t="s">
        <v>1</v>
      </c>
      <c r="C1504" s="471" t="s">
        <v>4</v>
      </c>
      <c r="D1504" s="471" t="s">
        <v>287</v>
      </c>
      <c r="E1504" s="471" t="s">
        <v>74</v>
      </c>
      <c r="F1504" s="471" t="s">
        <v>3</v>
      </c>
      <c r="G1504" s="471" t="s">
        <v>4</v>
      </c>
      <c r="H1504" s="471" t="s">
        <v>5</v>
      </c>
      <c r="I1504" s="471" t="s">
        <v>6</v>
      </c>
      <c r="J1504" s="471" t="s">
        <v>7</v>
      </c>
      <c r="K1504" s="471" t="s">
        <v>60</v>
      </c>
      <c r="L1504" s="471" t="s">
        <v>8</v>
      </c>
      <c r="O1504" s="43">
        <v>1502.15</v>
      </c>
      <c r="P1504" s="43"/>
    </row>
    <row r="1505" spans="1:16" ht="25.2" customHeight="1" x14ac:dyDescent="0.4">
      <c r="A1505" s="642">
        <v>45820</v>
      </c>
      <c r="B1505" s="607" t="s">
        <v>390</v>
      </c>
      <c r="C1505" s="473"/>
      <c r="D1505" s="473"/>
      <c r="E1505" s="474">
        <f>1200+1000+1800</f>
        <v>4000</v>
      </c>
      <c r="F1505" s="475"/>
      <c r="G1505" s="474"/>
      <c r="H1505" s="474"/>
      <c r="I1505" s="473"/>
      <c r="J1505" s="473"/>
      <c r="K1505" s="476" t="s">
        <v>61</v>
      </c>
      <c r="L1505" s="477" t="s">
        <v>801</v>
      </c>
      <c r="O1505" s="43"/>
    </row>
    <row r="1506" spans="1:16" ht="25.2" customHeight="1" x14ac:dyDescent="0.4">
      <c r="A1506" s="643"/>
      <c r="B1506" s="607" t="s">
        <v>390</v>
      </c>
      <c r="C1506" s="473"/>
      <c r="D1506" s="473">
        <v>15000</v>
      </c>
      <c r="E1506" s="474"/>
      <c r="F1506" s="475"/>
      <c r="G1506" s="474"/>
      <c r="H1506" s="474"/>
      <c r="I1506" s="473"/>
      <c r="J1506" s="473"/>
      <c r="K1506" s="476" t="s">
        <v>803</v>
      </c>
      <c r="L1506" s="477" t="s">
        <v>769</v>
      </c>
      <c r="O1506" s="43"/>
    </row>
    <row r="1507" spans="1:16" ht="24.6" customHeight="1" x14ac:dyDescent="0.4">
      <c r="A1507" s="644"/>
      <c r="B1507" s="607" t="s">
        <v>390</v>
      </c>
      <c r="C1507" s="473"/>
      <c r="D1507" s="473"/>
      <c r="E1507" s="474"/>
      <c r="F1507" s="475">
        <f>O1507*N1507/9</f>
        <v>14500</v>
      </c>
      <c r="G1507" s="474"/>
      <c r="H1507" s="474"/>
      <c r="I1507" s="473"/>
      <c r="J1507" s="473"/>
      <c r="K1507" s="476"/>
      <c r="L1507" s="606" t="s">
        <v>802</v>
      </c>
      <c r="N1507" s="1">
        <v>86.875478480844123</v>
      </c>
      <c r="O1507" s="366">
        <f>O1504</f>
        <v>1502.15</v>
      </c>
    </row>
    <row r="1508" spans="1:16" ht="25.2" customHeight="1" x14ac:dyDescent="0.4">
      <c r="A1508" s="645" t="s">
        <v>17</v>
      </c>
      <c r="B1508" s="645"/>
      <c r="C1508" s="474">
        <f>SUM(C1505:C1507)</f>
        <v>0</v>
      </c>
      <c r="D1508" s="474">
        <f>SUM(D1505:D1507)</f>
        <v>15000</v>
      </c>
      <c r="E1508" s="474">
        <f>SUM(E1505:E1507)</f>
        <v>4000</v>
      </c>
      <c r="F1508" s="474">
        <f>ROUNDDOWN(SUM(F1505:H1507),0)</f>
        <v>14500</v>
      </c>
      <c r="G1508" s="474" t="e">
        <f>SUM(#REF!)</f>
        <v>#REF!</v>
      </c>
      <c r="H1508" s="474" t="e">
        <f>SUM(#REF!)</f>
        <v>#REF!</v>
      </c>
      <c r="I1508" s="474">
        <f>SUM(I1505:I1507)</f>
        <v>0</v>
      </c>
      <c r="J1508" s="474">
        <f>SUM(J1505:J1507)</f>
        <v>0</v>
      </c>
      <c r="K1508" s="476"/>
      <c r="L1508" s="599"/>
    </row>
    <row r="1509" spans="1:16" ht="25.2" customHeight="1" x14ac:dyDescent="0.4">
      <c r="A1509" s="646" t="s">
        <v>18</v>
      </c>
      <c r="B1509" s="646"/>
      <c r="C1509" s="647">
        <f>C1508+D1508+E1508+F1508+I1508+J1508</f>
        <v>33500</v>
      </c>
      <c r="D1509" s="647"/>
      <c r="E1509" s="647"/>
      <c r="F1509" s="647"/>
      <c r="G1509" s="647"/>
      <c r="H1509" s="647"/>
      <c r="I1509" s="647"/>
      <c r="J1509" s="647"/>
      <c r="K1509" s="481"/>
      <c r="L1509" s="600" t="s">
        <v>800</v>
      </c>
    </row>
    <row r="1511" spans="1:16" ht="25.2" customHeight="1" x14ac:dyDescent="0.4">
      <c r="A1511" s="471" t="s">
        <v>0</v>
      </c>
      <c r="B1511" s="471" t="s">
        <v>1</v>
      </c>
      <c r="C1511" s="471" t="s">
        <v>4</v>
      </c>
      <c r="D1511" s="471" t="s">
        <v>287</v>
      </c>
      <c r="E1511" s="471" t="s">
        <v>74</v>
      </c>
      <c r="F1511" s="471" t="s">
        <v>3</v>
      </c>
      <c r="G1511" s="471" t="s">
        <v>4</v>
      </c>
      <c r="H1511" s="471" t="s">
        <v>5</v>
      </c>
      <c r="I1511" s="471" t="s">
        <v>6</v>
      </c>
      <c r="J1511" s="471" t="s">
        <v>7</v>
      </c>
      <c r="K1511" s="471" t="s">
        <v>60</v>
      </c>
      <c r="L1511" s="471" t="s">
        <v>8</v>
      </c>
      <c r="O1511" s="43">
        <v>1502.15</v>
      </c>
      <c r="P1511" s="43"/>
    </row>
    <row r="1512" spans="1:16" ht="25.2" customHeight="1" x14ac:dyDescent="0.4">
      <c r="A1512" s="642">
        <v>45824</v>
      </c>
      <c r="B1512" s="609" t="s">
        <v>390</v>
      </c>
      <c r="C1512" s="473"/>
      <c r="D1512" s="473"/>
      <c r="E1512" s="474">
        <f>1200+1000+1800</f>
        <v>4000</v>
      </c>
      <c r="F1512" s="475"/>
      <c r="G1512" s="474"/>
      <c r="H1512" s="474"/>
      <c r="I1512" s="473"/>
      <c r="J1512" s="473"/>
      <c r="K1512" s="476" t="s">
        <v>61</v>
      </c>
      <c r="L1512" s="477" t="s">
        <v>801</v>
      </c>
      <c r="O1512" s="43"/>
    </row>
    <row r="1513" spans="1:16" ht="25.2" customHeight="1" x14ac:dyDescent="0.4">
      <c r="A1513" s="643"/>
      <c r="B1513" s="609" t="s">
        <v>390</v>
      </c>
      <c r="C1513" s="473"/>
      <c r="D1513" s="473"/>
      <c r="E1513" s="474"/>
      <c r="F1513" s="475">
        <f>O1513*N1513/9</f>
        <v>16800</v>
      </c>
      <c r="G1513" s="474"/>
      <c r="H1513" s="474"/>
      <c r="I1513" s="473"/>
      <c r="J1513" s="473"/>
      <c r="K1513" s="476" t="s">
        <v>62</v>
      </c>
      <c r="L1513" s="608" t="s">
        <v>805</v>
      </c>
      <c r="N1513" s="1">
        <v>100.6557267915987</v>
      </c>
      <c r="O1513" s="366">
        <f>O1511</f>
        <v>1502.15</v>
      </c>
    </row>
    <row r="1514" spans="1:16" ht="25.2" customHeight="1" x14ac:dyDescent="0.4">
      <c r="A1514" s="642">
        <v>45827</v>
      </c>
      <c r="B1514" s="609" t="s">
        <v>390</v>
      </c>
      <c r="C1514" s="473"/>
      <c r="D1514" s="473"/>
      <c r="E1514" s="474">
        <v>3000</v>
      </c>
      <c r="F1514" s="475"/>
      <c r="G1514" s="474"/>
      <c r="H1514" s="474"/>
      <c r="I1514" s="473"/>
      <c r="J1514" s="473"/>
      <c r="K1514" s="476" t="s">
        <v>64</v>
      </c>
      <c r="L1514" s="477" t="s">
        <v>769</v>
      </c>
      <c r="O1514" s="43"/>
    </row>
    <row r="1515" spans="1:16" ht="24.6" customHeight="1" x14ac:dyDescent="0.4">
      <c r="A1515" s="643"/>
      <c r="B1515" s="609" t="s">
        <v>390</v>
      </c>
      <c r="C1515" s="473"/>
      <c r="D1515" s="473"/>
      <c r="E1515" s="474"/>
      <c r="F1515" s="475">
        <f>O1515*N1515/9</f>
        <v>11000</v>
      </c>
      <c r="G1515" s="474"/>
      <c r="H1515" s="474"/>
      <c r="I1515" s="473"/>
      <c r="J1515" s="473"/>
      <c r="K1515" s="476" t="s">
        <v>804</v>
      </c>
      <c r="L1515" s="608" t="s">
        <v>806</v>
      </c>
      <c r="N1515" s="1">
        <v>65.905535399261055</v>
      </c>
      <c r="O1515" s="366">
        <f>O1511</f>
        <v>1502.15</v>
      </c>
    </row>
    <row r="1516" spans="1:16" ht="25.2" customHeight="1" x14ac:dyDescent="0.4">
      <c r="A1516" s="645" t="s">
        <v>17</v>
      </c>
      <c r="B1516" s="645"/>
      <c r="C1516" s="474">
        <f>SUM(C1512:C1515)</f>
        <v>0</v>
      </c>
      <c r="D1516" s="474">
        <f>SUM(D1512:D1515)</f>
        <v>0</v>
      </c>
      <c r="E1516" s="474">
        <f>SUM(E1512:E1515)</f>
        <v>7000</v>
      </c>
      <c r="F1516" s="474">
        <f>ROUNDDOWN(SUM(F1512:H1515),0)</f>
        <v>27800</v>
      </c>
      <c r="G1516" s="474" t="e">
        <f>SUM(#REF!)</f>
        <v>#REF!</v>
      </c>
      <c r="H1516" s="474" t="e">
        <f>SUM(#REF!)</f>
        <v>#REF!</v>
      </c>
      <c r="I1516" s="474">
        <f>SUM(I1512:I1515)</f>
        <v>0</v>
      </c>
      <c r="J1516" s="474">
        <f>SUM(J1512:J1515)</f>
        <v>0</v>
      </c>
      <c r="K1516" s="476"/>
      <c r="L1516" s="599"/>
    </row>
    <row r="1517" spans="1:16" ht="25.2" customHeight="1" x14ac:dyDescent="0.4">
      <c r="A1517" s="646" t="s">
        <v>18</v>
      </c>
      <c r="B1517" s="646"/>
      <c r="C1517" s="647">
        <f>C1516+D1516+E1516+F1516+I1516+J1516</f>
        <v>34800</v>
      </c>
      <c r="D1517" s="647"/>
      <c r="E1517" s="647"/>
      <c r="F1517" s="647"/>
      <c r="G1517" s="647"/>
      <c r="H1517" s="647"/>
      <c r="I1517" s="647"/>
      <c r="J1517" s="647"/>
      <c r="K1517" s="481"/>
      <c r="L1517" s="600" t="s">
        <v>800</v>
      </c>
    </row>
    <row r="1519" spans="1:16" ht="25.2" customHeight="1" x14ac:dyDescent="0.4">
      <c r="A1519" s="471" t="s">
        <v>0</v>
      </c>
      <c r="B1519" s="471" t="s">
        <v>1</v>
      </c>
      <c r="C1519" s="471" t="s">
        <v>4</v>
      </c>
      <c r="D1519" s="471" t="s">
        <v>287</v>
      </c>
      <c r="E1519" s="471" t="s">
        <v>74</v>
      </c>
      <c r="F1519" s="471" t="s">
        <v>3</v>
      </c>
      <c r="G1519" s="471" t="s">
        <v>4</v>
      </c>
      <c r="H1519" s="471" t="s">
        <v>5</v>
      </c>
      <c r="I1519" s="471" t="s">
        <v>6</v>
      </c>
      <c r="J1519" s="471" t="s">
        <v>7</v>
      </c>
      <c r="K1519" s="471" t="s">
        <v>60</v>
      </c>
      <c r="L1519" s="471" t="s">
        <v>8</v>
      </c>
      <c r="O1519" s="43">
        <v>1505.43</v>
      </c>
      <c r="P1519" s="43"/>
    </row>
    <row r="1520" spans="1:16" ht="25.2" customHeight="1" x14ac:dyDescent="0.4">
      <c r="A1520" s="642">
        <v>45839</v>
      </c>
      <c r="B1520" s="612" t="s">
        <v>390</v>
      </c>
      <c r="C1520" s="473"/>
      <c r="D1520" s="473"/>
      <c r="E1520" s="474">
        <v>22700</v>
      </c>
      <c r="F1520" s="475"/>
      <c r="G1520" s="474"/>
      <c r="H1520" s="474"/>
      <c r="I1520" s="473"/>
      <c r="J1520" s="473"/>
      <c r="K1520" s="476" t="s">
        <v>61</v>
      </c>
      <c r="L1520" s="477" t="s">
        <v>807</v>
      </c>
      <c r="O1520" s="43"/>
    </row>
    <row r="1521" spans="1:16" ht="25.2" customHeight="1" x14ac:dyDescent="0.4">
      <c r="A1521" s="643"/>
      <c r="B1521" s="612" t="s">
        <v>390</v>
      </c>
      <c r="C1521" s="473"/>
      <c r="D1521" s="473"/>
      <c r="E1521" s="474"/>
      <c r="F1521" s="475"/>
      <c r="G1521" s="474"/>
      <c r="H1521" s="474"/>
      <c r="I1521" s="473">
        <v>15000</v>
      </c>
      <c r="J1521" s="473">
        <v>30000</v>
      </c>
      <c r="K1521" s="476" t="s">
        <v>810</v>
      </c>
      <c r="L1521" s="477" t="s">
        <v>811</v>
      </c>
      <c r="O1521" s="43"/>
    </row>
    <row r="1522" spans="1:16" ht="25.2" customHeight="1" x14ac:dyDescent="0.4">
      <c r="A1522" s="643"/>
      <c r="B1522" s="610" t="s">
        <v>390</v>
      </c>
      <c r="C1522" s="615"/>
      <c r="D1522" s="615"/>
      <c r="E1522" s="616"/>
      <c r="F1522" s="617">
        <f>O1522*N1522/9</f>
        <v>30899.999999999993</v>
      </c>
      <c r="G1522" s="616"/>
      <c r="H1522" s="616"/>
      <c r="I1522" s="615"/>
      <c r="J1522" s="473"/>
      <c r="K1522" s="476" t="s">
        <v>810</v>
      </c>
      <c r="L1522" s="611" t="s">
        <v>809</v>
      </c>
      <c r="N1522" s="1">
        <v>184.73127279249115</v>
      </c>
      <c r="O1522" s="366">
        <f>O1519</f>
        <v>1505.43</v>
      </c>
    </row>
    <row r="1523" spans="1:16" ht="25.2" customHeight="1" x14ac:dyDescent="0.4">
      <c r="A1523" s="618">
        <v>45840</v>
      </c>
      <c r="B1523" s="612" t="s">
        <v>390</v>
      </c>
      <c r="C1523" s="473"/>
      <c r="D1523" s="473"/>
      <c r="E1523" s="474"/>
      <c r="F1523" s="475"/>
      <c r="G1523" s="474"/>
      <c r="H1523" s="474"/>
      <c r="I1523" s="473"/>
      <c r="J1523" s="473">
        <v>64000</v>
      </c>
      <c r="K1523" s="476" t="s">
        <v>813</v>
      </c>
      <c r="L1523" s="611" t="s">
        <v>812</v>
      </c>
      <c r="O1523" s="366"/>
    </row>
    <row r="1524" spans="1:16" ht="25.2" customHeight="1" x14ac:dyDescent="0.4">
      <c r="A1524" s="653" t="s">
        <v>17</v>
      </c>
      <c r="B1524" s="654"/>
      <c r="C1524" s="474">
        <f>SUM(C1520:C1523)</f>
        <v>0</v>
      </c>
      <c r="D1524" s="474">
        <f>SUM(D1520:D1523)</f>
        <v>0</v>
      </c>
      <c r="E1524" s="474">
        <f>SUM(E1520:E1523)</f>
        <v>22700</v>
      </c>
      <c r="F1524" s="474">
        <f>ROUNDDOWN(SUM(F1520:H1523),0)</f>
        <v>30900</v>
      </c>
      <c r="G1524" s="474" t="e">
        <f>SUM(#REF!)</f>
        <v>#REF!</v>
      </c>
      <c r="H1524" s="474" t="e">
        <f>SUM(#REF!)</f>
        <v>#REF!</v>
      </c>
      <c r="I1524" s="474">
        <f>SUM(I1520:I1523)</f>
        <v>15000</v>
      </c>
      <c r="J1524" s="474">
        <f>SUM(J1520:J1523)</f>
        <v>94000</v>
      </c>
      <c r="K1524" s="476"/>
      <c r="L1524" s="599"/>
    </row>
    <row r="1525" spans="1:16" ht="25.2" customHeight="1" x14ac:dyDescent="0.4">
      <c r="A1525" s="646" t="s">
        <v>18</v>
      </c>
      <c r="B1525" s="646"/>
      <c r="C1525" s="647">
        <f>C1524+D1524+E1524+F1524+I1524+J1524</f>
        <v>162600</v>
      </c>
      <c r="D1525" s="647"/>
      <c r="E1525" s="647"/>
      <c r="F1525" s="647"/>
      <c r="G1525" s="647"/>
      <c r="H1525" s="647"/>
      <c r="I1525" s="647"/>
      <c r="J1525" s="647"/>
      <c r="K1525" s="481"/>
      <c r="L1525" s="600" t="s">
        <v>808</v>
      </c>
    </row>
    <row r="1527" spans="1:16" ht="25.2" customHeight="1" x14ac:dyDescent="0.4">
      <c r="A1527" s="471" t="s">
        <v>0</v>
      </c>
      <c r="B1527" s="471" t="s">
        <v>1</v>
      </c>
      <c r="C1527" s="471" t="s">
        <v>4</v>
      </c>
      <c r="D1527" s="471" t="s">
        <v>287</v>
      </c>
      <c r="E1527" s="471" t="s">
        <v>74</v>
      </c>
      <c r="F1527" s="471" t="s">
        <v>3</v>
      </c>
      <c r="G1527" s="471" t="s">
        <v>4</v>
      </c>
      <c r="H1527" s="471" t="s">
        <v>5</v>
      </c>
      <c r="I1527" s="471" t="s">
        <v>6</v>
      </c>
      <c r="J1527" s="471" t="s">
        <v>7</v>
      </c>
      <c r="K1527" s="471" t="s">
        <v>60</v>
      </c>
      <c r="L1527" s="471" t="s">
        <v>8</v>
      </c>
      <c r="O1527" s="43">
        <v>1505.43</v>
      </c>
      <c r="P1527" s="43"/>
    </row>
    <row r="1528" spans="1:16" ht="25.2" customHeight="1" x14ac:dyDescent="0.4">
      <c r="A1528" s="642">
        <v>45841</v>
      </c>
      <c r="B1528" s="612" t="s">
        <v>390</v>
      </c>
      <c r="C1528" s="473"/>
      <c r="D1528" s="473"/>
      <c r="E1528" s="474">
        <v>3600</v>
      </c>
      <c r="F1528" s="475"/>
      <c r="G1528" s="474"/>
      <c r="H1528" s="474"/>
      <c r="I1528" s="473"/>
      <c r="J1528" s="473"/>
      <c r="K1528" s="476" t="s">
        <v>64</v>
      </c>
      <c r="L1528" s="477" t="s">
        <v>769</v>
      </c>
      <c r="O1528" s="43"/>
    </row>
    <row r="1529" spans="1:16" ht="24.6" customHeight="1" x14ac:dyDescent="0.4">
      <c r="A1529" s="643"/>
      <c r="B1529" s="612" t="s">
        <v>390</v>
      </c>
      <c r="C1529" s="473"/>
      <c r="D1529" s="473"/>
      <c r="E1529" s="474"/>
      <c r="F1529" s="475">
        <f>O1529*N1529/9</f>
        <v>20100</v>
      </c>
      <c r="G1529" s="474"/>
      <c r="H1529" s="474"/>
      <c r="I1529" s="473"/>
      <c r="J1529" s="473"/>
      <c r="K1529" s="476"/>
      <c r="L1529" s="611" t="s">
        <v>814</v>
      </c>
      <c r="N1529" s="1">
        <v>120.16500269026125</v>
      </c>
      <c r="O1529" s="366">
        <f>O1527</f>
        <v>1505.43</v>
      </c>
    </row>
    <row r="1530" spans="1:16" ht="25.2" customHeight="1" x14ac:dyDescent="0.4">
      <c r="A1530" s="645" t="s">
        <v>17</v>
      </c>
      <c r="B1530" s="645"/>
      <c r="C1530" s="474">
        <f>SUM(C1528:C1529)</f>
        <v>0</v>
      </c>
      <c r="D1530" s="474">
        <f>SUM(D1528:D1529)</f>
        <v>0</v>
      </c>
      <c r="E1530" s="474">
        <f>SUM(E1528:E1529)</f>
        <v>3600</v>
      </c>
      <c r="F1530" s="474">
        <f>ROUNDDOWN(SUM(F1528:H1529),0)</f>
        <v>20100</v>
      </c>
      <c r="G1530" s="474" t="e">
        <f>SUM(#REF!)</f>
        <v>#REF!</v>
      </c>
      <c r="H1530" s="474" t="e">
        <f>SUM(#REF!)</f>
        <v>#REF!</v>
      </c>
      <c r="I1530" s="474">
        <f>SUM(I1528:I1529)</f>
        <v>0</v>
      </c>
      <c r="J1530" s="474">
        <f>SUM(J1528:J1529)</f>
        <v>0</v>
      </c>
      <c r="K1530" s="476"/>
      <c r="L1530" s="599"/>
    </row>
    <row r="1531" spans="1:16" ht="25.2" customHeight="1" x14ac:dyDescent="0.4">
      <c r="A1531" s="646" t="s">
        <v>18</v>
      </c>
      <c r="B1531" s="646"/>
      <c r="C1531" s="647">
        <f>C1530+D1530+E1530+F1530+I1530+J1530</f>
        <v>23700</v>
      </c>
      <c r="D1531" s="647"/>
      <c r="E1531" s="647"/>
      <c r="F1531" s="647"/>
      <c r="G1531" s="647"/>
      <c r="H1531" s="647"/>
      <c r="I1531" s="647"/>
      <c r="J1531" s="647"/>
      <c r="K1531" s="481"/>
      <c r="L1531" s="600" t="s">
        <v>808</v>
      </c>
    </row>
    <row r="1533" spans="1:16" ht="25.2" customHeight="1" x14ac:dyDescent="0.4">
      <c r="A1533" s="471" t="s">
        <v>0</v>
      </c>
      <c r="B1533" s="471" t="s">
        <v>1</v>
      </c>
      <c r="C1533" s="471" t="s">
        <v>4</v>
      </c>
      <c r="D1533" s="471" t="s">
        <v>287</v>
      </c>
      <c r="E1533" s="471" t="s">
        <v>74</v>
      </c>
      <c r="F1533" s="471" t="s">
        <v>3</v>
      </c>
      <c r="G1533" s="471" t="s">
        <v>4</v>
      </c>
      <c r="H1533" s="471" t="s">
        <v>5</v>
      </c>
      <c r="I1533" s="471" t="s">
        <v>6</v>
      </c>
      <c r="J1533" s="471" t="s">
        <v>7</v>
      </c>
      <c r="K1533" s="471" t="s">
        <v>60</v>
      </c>
      <c r="L1533" s="471" t="s">
        <v>8</v>
      </c>
      <c r="O1533" s="43">
        <v>1505.43</v>
      </c>
      <c r="P1533" s="43"/>
    </row>
    <row r="1534" spans="1:16" ht="25.2" customHeight="1" x14ac:dyDescent="0.4">
      <c r="A1534" s="613">
        <v>45860</v>
      </c>
      <c r="B1534" s="614" t="s">
        <v>390</v>
      </c>
      <c r="C1534" s="473"/>
      <c r="D1534" s="473"/>
      <c r="E1534" s="474">
        <v>0</v>
      </c>
      <c r="F1534" s="475"/>
      <c r="G1534" s="474"/>
      <c r="H1534" s="474"/>
      <c r="I1534" s="473"/>
      <c r="J1534" s="473">
        <v>52000</v>
      </c>
      <c r="K1534" s="476" t="s">
        <v>204</v>
      </c>
      <c r="L1534" s="620" t="s">
        <v>815</v>
      </c>
      <c r="O1534" s="43"/>
    </row>
    <row r="1535" spans="1:16" ht="25.2" customHeight="1" x14ac:dyDescent="0.4">
      <c r="A1535" s="645" t="s">
        <v>17</v>
      </c>
      <c r="B1535" s="645"/>
      <c r="C1535" s="474">
        <f>SUM(C1534:C1534)</f>
        <v>0</v>
      </c>
      <c r="D1535" s="474">
        <f>SUM(D1534:D1534)</f>
        <v>0</v>
      </c>
      <c r="E1535" s="474">
        <f>SUM(E1534:E1534)</f>
        <v>0</v>
      </c>
      <c r="F1535" s="474">
        <f>ROUNDDOWN(SUM(F1534:H1534),0)</f>
        <v>0</v>
      </c>
      <c r="G1535" s="474" t="e">
        <f>SUM(#REF!)</f>
        <v>#REF!</v>
      </c>
      <c r="H1535" s="474" t="e">
        <f>SUM(#REF!)</f>
        <v>#REF!</v>
      </c>
      <c r="I1535" s="474">
        <f>SUM(I1534:I1534)</f>
        <v>0</v>
      </c>
      <c r="J1535" s="474">
        <f>SUM(J1534:J1534)</f>
        <v>52000</v>
      </c>
      <c r="K1535" s="476"/>
      <c r="L1535" s="599"/>
    </row>
    <row r="1536" spans="1:16" ht="25.2" customHeight="1" x14ac:dyDescent="0.4">
      <c r="A1536" s="646" t="s">
        <v>18</v>
      </c>
      <c r="B1536" s="646"/>
      <c r="C1536" s="647">
        <f>C1535+D1535+E1535+F1535+I1535+J1535</f>
        <v>52000</v>
      </c>
      <c r="D1536" s="647"/>
      <c r="E1536" s="647"/>
      <c r="F1536" s="647"/>
      <c r="G1536" s="647"/>
      <c r="H1536" s="647"/>
      <c r="I1536" s="647"/>
      <c r="J1536" s="647"/>
      <c r="K1536" s="481"/>
      <c r="L1536" s="600"/>
    </row>
    <row r="1538" spans="1:16" ht="25.2" customHeight="1" x14ac:dyDescent="0.4">
      <c r="A1538" s="471" t="s">
        <v>0</v>
      </c>
      <c r="B1538" s="471" t="s">
        <v>1</v>
      </c>
      <c r="C1538" s="471" t="s">
        <v>816</v>
      </c>
      <c r="D1538" s="471" t="s">
        <v>287</v>
      </c>
      <c r="E1538" s="471" t="s">
        <v>74</v>
      </c>
      <c r="F1538" s="471" t="s">
        <v>3</v>
      </c>
      <c r="G1538" s="471" t="s">
        <v>4</v>
      </c>
      <c r="H1538" s="471" t="s">
        <v>5</v>
      </c>
      <c r="I1538" s="471" t="s">
        <v>6</v>
      </c>
      <c r="J1538" s="471" t="s">
        <v>7</v>
      </c>
      <c r="K1538" s="471" t="s">
        <v>60</v>
      </c>
      <c r="L1538" s="471" t="s">
        <v>8</v>
      </c>
      <c r="O1538" s="43">
        <v>1505.43</v>
      </c>
      <c r="P1538" s="43"/>
    </row>
    <row r="1539" spans="1:16" ht="25.2" customHeight="1" x14ac:dyDescent="0.4">
      <c r="A1539" s="642">
        <v>45861</v>
      </c>
      <c r="B1539" s="619" t="s">
        <v>390</v>
      </c>
      <c r="C1539" s="473"/>
      <c r="D1539" s="473"/>
      <c r="E1539" s="474"/>
      <c r="F1539" s="475"/>
      <c r="G1539" s="474"/>
      <c r="H1539" s="474"/>
      <c r="I1539" s="473"/>
      <c r="J1539" s="473">
        <v>13380</v>
      </c>
      <c r="K1539" s="476" t="s">
        <v>61</v>
      </c>
      <c r="L1539" s="477" t="s">
        <v>817</v>
      </c>
      <c r="O1539" s="43"/>
    </row>
    <row r="1540" spans="1:16" ht="25.2" customHeight="1" x14ac:dyDescent="0.4">
      <c r="A1540" s="643"/>
      <c r="B1540" s="619" t="s">
        <v>390</v>
      </c>
      <c r="C1540" s="473">
        <v>1650</v>
      </c>
      <c r="D1540" s="473"/>
      <c r="E1540" s="474"/>
      <c r="F1540" s="475"/>
      <c r="G1540" s="474"/>
      <c r="H1540" s="474"/>
      <c r="I1540" s="473"/>
      <c r="J1540" s="473"/>
      <c r="K1540" s="476" t="s">
        <v>62</v>
      </c>
      <c r="L1540" s="477" t="s">
        <v>818</v>
      </c>
      <c r="O1540" s="43"/>
    </row>
    <row r="1541" spans="1:16" ht="25.2" customHeight="1" x14ac:dyDescent="0.4">
      <c r="A1541" s="645" t="s">
        <v>17</v>
      </c>
      <c r="B1541" s="645"/>
      <c r="C1541" s="474">
        <f>SUM(C1539:C1540)</f>
        <v>1650</v>
      </c>
      <c r="D1541" s="474">
        <f>SUM(D1539:D1540)</f>
        <v>0</v>
      </c>
      <c r="E1541" s="474">
        <f>SUM(E1539:E1540)</f>
        <v>0</v>
      </c>
      <c r="F1541" s="474">
        <f>ROUNDDOWN(SUM(F1539:H1540),0)</f>
        <v>0</v>
      </c>
      <c r="G1541" s="474" t="e">
        <f>SUM(#REF!)</f>
        <v>#REF!</v>
      </c>
      <c r="H1541" s="474" t="e">
        <f>SUM(#REF!)</f>
        <v>#REF!</v>
      </c>
      <c r="I1541" s="474">
        <f>SUM(I1539:I1540)</f>
        <v>0</v>
      </c>
      <c r="J1541" s="474">
        <f>SUM(J1539:J1540)</f>
        <v>13380</v>
      </c>
      <c r="K1541" s="476"/>
      <c r="L1541" s="599"/>
    </row>
    <row r="1542" spans="1:16" ht="25.2" customHeight="1" x14ac:dyDescent="0.4">
      <c r="A1542" s="646" t="s">
        <v>18</v>
      </c>
      <c r="B1542" s="646"/>
      <c r="C1542" s="647">
        <f>C1541+D1541+E1541+F1541+I1541+J1541</f>
        <v>15030</v>
      </c>
      <c r="D1542" s="647"/>
      <c r="E1542" s="647"/>
      <c r="F1542" s="647"/>
      <c r="G1542" s="647"/>
      <c r="H1542" s="647"/>
      <c r="I1542" s="647"/>
      <c r="J1542" s="647"/>
      <c r="K1542" s="481"/>
      <c r="L1542" s="600"/>
    </row>
    <row r="1544" spans="1:16" ht="25.2" customHeight="1" x14ac:dyDescent="0.4">
      <c r="A1544" s="471" t="s">
        <v>0</v>
      </c>
      <c r="B1544" s="471" t="s">
        <v>1</v>
      </c>
      <c r="C1544" s="471" t="s">
        <v>4</v>
      </c>
      <c r="D1544" s="471" t="s">
        <v>287</v>
      </c>
      <c r="E1544" s="471" t="s">
        <v>74</v>
      </c>
      <c r="F1544" s="471" t="s">
        <v>3</v>
      </c>
      <c r="G1544" s="471" t="s">
        <v>4</v>
      </c>
      <c r="H1544" s="471" t="s">
        <v>5</v>
      </c>
      <c r="I1544" s="471" t="s">
        <v>6</v>
      </c>
      <c r="J1544" s="471" t="s">
        <v>7</v>
      </c>
      <c r="K1544" s="471" t="s">
        <v>60</v>
      </c>
      <c r="L1544" s="471" t="s">
        <v>8</v>
      </c>
      <c r="O1544" s="43">
        <v>1505.43</v>
      </c>
      <c r="P1544" s="43"/>
    </row>
    <row r="1545" spans="1:16" ht="25.2" customHeight="1" x14ac:dyDescent="0.4">
      <c r="A1545" s="621">
        <v>45864</v>
      </c>
      <c r="B1545" s="622" t="s">
        <v>390</v>
      </c>
      <c r="C1545" s="473"/>
      <c r="D1545" s="473"/>
      <c r="E1545" s="474">
        <v>0</v>
      </c>
      <c r="F1545" s="475"/>
      <c r="G1545" s="474"/>
      <c r="H1545" s="474"/>
      <c r="I1545" s="473"/>
      <c r="J1545" s="473">
        <v>18000</v>
      </c>
      <c r="K1545" s="476" t="s">
        <v>204</v>
      </c>
      <c r="L1545" s="620" t="s">
        <v>819</v>
      </c>
      <c r="O1545" s="43"/>
    </row>
    <row r="1546" spans="1:16" ht="25.2" customHeight="1" x14ac:dyDescent="0.4">
      <c r="A1546" s="645" t="s">
        <v>17</v>
      </c>
      <c r="B1546" s="645"/>
      <c r="C1546" s="474">
        <f>SUM(C1545:C1545)</f>
        <v>0</v>
      </c>
      <c r="D1546" s="474">
        <f>SUM(D1545:D1545)</f>
        <v>0</v>
      </c>
      <c r="E1546" s="474">
        <f>SUM(E1545:E1545)</f>
        <v>0</v>
      </c>
      <c r="F1546" s="474">
        <f>ROUNDDOWN(SUM(F1545:H1545),0)</f>
        <v>0</v>
      </c>
      <c r="G1546" s="474" t="e">
        <f>SUM(#REF!)</f>
        <v>#REF!</v>
      </c>
      <c r="H1546" s="474" t="e">
        <f>SUM(#REF!)</f>
        <v>#REF!</v>
      </c>
      <c r="I1546" s="474">
        <f>SUM(I1545:I1545)</f>
        <v>0</v>
      </c>
      <c r="J1546" s="474">
        <f>SUM(J1545:J1545)</f>
        <v>18000</v>
      </c>
      <c r="K1546" s="476"/>
      <c r="L1546" s="599"/>
    </row>
    <row r="1547" spans="1:16" ht="25.2" customHeight="1" x14ac:dyDescent="0.4">
      <c r="A1547" s="646" t="s">
        <v>18</v>
      </c>
      <c r="B1547" s="646"/>
      <c r="C1547" s="647">
        <f>C1546+D1546+E1546+F1546+I1546+J1546</f>
        <v>18000</v>
      </c>
      <c r="D1547" s="647"/>
      <c r="E1547" s="647"/>
      <c r="F1547" s="647"/>
      <c r="G1547" s="647"/>
      <c r="H1547" s="647"/>
      <c r="I1547" s="647"/>
      <c r="J1547" s="647"/>
      <c r="K1547" s="481"/>
      <c r="L1547" s="600"/>
    </row>
    <row r="1549" spans="1:16" ht="25.2" customHeight="1" x14ac:dyDescent="0.4">
      <c r="A1549" s="471" t="s">
        <v>0</v>
      </c>
      <c r="B1549" s="471" t="s">
        <v>1</v>
      </c>
      <c r="C1549" s="471" t="s">
        <v>4</v>
      </c>
      <c r="D1549" s="471" t="s">
        <v>287</v>
      </c>
      <c r="E1549" s="471" t="s">
        <v>74</v>
      </c>
      <c r="F1549" s="471" t="s">
        <v>3</v>
      </c>
      <c r="G1549" s="471" t="s">
        <v>4</v>
      </c>
      <c r="H1549" s="471" t="s">
        <v>5</v>
      </c>
      <c r="I1549" s="471" t="s">
        <v>6</v>
      </c>
      <c r="J1549" s="471" t="s">
        <v>7</v>
      </c>
      <c r="K1549" s="471" t="s">
        <v>60</v>
      </c>
      <c r="L1549" s="471" t="s">
        <v>8</v>
      </c>
      <c r="O1549" s="43">
        <v>1531.55</v>
      </c>
      <c r="P1549" s="43"/>
    </row>
    <row r="1550" spans="1:16" ht="25.2" customHeight="1" x14ac:dyDescent="0.4">
      <c r="A1550" s="642">
        <v>45876</v>
      </c>
      <c r="B1550" s="624" t="s">
        <v>390</v>
      </c>
      <c r="C1550" s="473"/>
      <c r="D1550" s="473"/>
      <c r="E1550" s="474"/>
      <c r="F1550" s="475"/>
      <c r="G1550" s="474"/>
      <c r="H1550" s="474"/>
      <c r="I1550" s="473"/>
      <c r="J1550" s="473"/>
      <c r="K1550" s="476" t="s">
        <v>821</v>
      </c>
      <c r="L1550" s="477" t="s">
        <v>820</v>
      </c>
      <c r="O1550" s="43"/>
    </row>
    <row r="1551" spans="1:16" ht="24.6" customHeight="1" x14ac:dyDescent="0.4">
      <c r="A1551" s="643"/>
      <c r="B1551" s="624" t="s">
        <v>390</v>
      </c>
      <c r="C1551" s="473"/>
      <c r="D1551" s="473"/>
      <c r="E1551" s="474"/>
      <c r="F1551" s="475">
        <f>O1551*N1551/9</f>
        <v>0</v>
      </c>
      <c r="G1551" s="474"/>
      <c r="H1551" s="474"/>
      <c r="I1551" s="473"/>
      <c r="J1551" s="473"/>
      <c r="K1551" s="476"/>
      <c r="L1551" s="623" t="s">
        <v>814</v>
      </c>
      <c r="N1551" s="1">
        <v>0</v>
      </c>
      <c r="O1551" s="366">
        <f>O1549</f>
        <v>1531.55</v>
      </c>
    </row>
    <row r="1552" spans="1:16" ht="25.2" customHeight="1" x14ac:dyDescent="0.4">
      <c r="A1552" s="645" t="s">
        <v>17</v>
      </c>
      <c r="B1552" s="645"/>
      <c r="C1552" s="474">
        <f>SUM(C1550:C1551)</f>
        <v>0</v>
      </c>
      <c r="D1552" s="474">
        <f>SUM(D1550:D1551)</f>
        <v>0</v>
      </c>
      <c r="E1552" s="474">
        <f>SUM(E1550:E1551)</f>
        <v>0</v>
      </c>
      <c r="F1552" s="474">
        <f>ROUNDDOWN(SUM(F1550:H1551),0)</f>
        <v>0</v>
      </c>
      <c r="G1552" s="474" t="e">
        <f>SUM(#REF!)</f>
        <v>#REF!</v>
      </c>
      <c r="H1552" s="474" t="e">
        <f>SUM(#REF!)</f>
        <v>#REF!</v>
      </c>
      <c r="I1552" s="474">
        <f>SUM(I1550:I1551)</f>
        <v>0</v>
      </c>
      <c r="J1552" s="474">
        <f>SUM(J1550:J1551)</f>
        <v>0</v>
      </c>
      <c r="K1552" s="476"/>
      <c r="L1552" s="599"/>
    </row>
    <row r="1553" spans="1:16" ht="25.2" customHeight="1" x14ac:dyDescent="0.4">
      <c r="A1553" s="646" t="s">
        <v>18</v>
      </c>
      <c r="B1553" s="646"/>
      <c r="C1553" s="647">
        <f>C1552+D1552+E1552+F1552+I1552+J1552</f>
        <v>0</v>
      </c>
      <c r="D1553" s="647"/>
      <c r="E1553" s="647"/>
      <c r="F1553" s="647"/>
      <c r="G1553" s="647"/>
      <c r="H1553" s="647"/>
      <c r="I1553" s="647"/>
      <c r="J1553" s="647"/>
      <c r="K1553" s="481"/>
      <c r="L1553" s="600" t="s">
        <v>822</v>
      </c>
    </row>
    <row r="1555" spans="1:16" ht="25.2" customHeight="1" x14ac:dyDescent="0.4">
      <c r="A1555" s="471" t="s">
        <v>0</v>
      </c>
      <c r="B1555" s="471" t="s">
        <v>1</v>
      </c>
      <c r="C1555" s="471" t="s">
        <v>4</v>
      </c>
      <c r="D1555" s="471" t="s">
        <v>287</v>
      </c>
      <c r="E1555" s="471" t="s">
        <v>74</v>
      </c>
      <c r="F1555" s="471" t="s">
        <v>3</v>
      </c>
      <c r="G1555" s="471" t="s">
        <v>4</v>
      </c>
      <c r="H1555" s="471" t="s">
        <v>5</v>
      </c>
      <c r="I1555" s="471" t="s">
        <v>6</v>
      </c>
      <c r="J1555" s="471" t="s">
        <v>7</v>
      </c>
      <c r="K1555" s="471" t="s">
        <v>60</v>
      </c>
      <c r="L1555" s="471" t="s">
        <v>8</v>
      </c>
      <c r="O1555" s="43">
        <v>1531.55</v>
      </c>
      <c r="P1555" s="43"/>
    </row>
    <row r="1556" spans="1:16" ht="25.2" customHeight="1" x14ac:dyDescent="0.4">
      <c r="A1556" s="642">
        <v>45876</v>
      </c>
      <c r="B1556" s="624" t="s">
        <v>390</v>
      </c>
      <c r="C1556" s="473"/>
      <c r="D1556" s="473"/>
      <c r="E1556" s="474"/>
      <c r="F1556" s="475"/>
      <c r="G1556" s="474"/>
      <c r="H1556" s="474"/>
      <c r="I1556" s="473"/>
      <c r="J1556" s="473">
        <v>9200</v>
      </c>
      <c r="K1556" s="476" t="s">
        <v>821</v>
      </c>
      <c r="L1556" s="477" t="s">
        <v>823</v>
      </c>
      <c r="O1556" s="43"/>
    </row>
    <row r="1557" spans="1:16" ht="24.6" customHeight="1" x14ac:dyDescent="0.4">
      <c r="A1557" s="643"/>
      <c r="B1557" s="624" t="s">
        <v>390</v>
      </c>
      <c r="C1557" s="473"/>
      <c r="D1557" s="473"/>
      <c r="E1557" s="474"/>
      <c r="F1557" s="475">
        <f>O1557*N1557/9</f>
        <v>4500.0000000000036</v>
      </c>
      <c r="G1557" s="474"/>
      <c r="H1557" s="474"/>
      <c r="I1557" s="473"/>
      <c r="J1557" s="473"/>
      <c r="K1557" s="476" t="s">
        <v>62</v>
      </c>
      <c r="L1557" s="629">
        <f>N1557</f>
        <v>26.443798765956078</v>
      </c>
      <c r="N1557" s="1">
        <v>26.443798765956078</v>
      </c>
      <c r="O1557" s="366">
        <f>O1555</f>
        <v>1531.55</v>
      </c>
    </row>
    <row r="1558" spans="1:16" ht="25.2" customHeight="1" x14ac:dyDescent="0.4">
      <c r="A1558" s="645" t="s">
        <v>17</v>
      </c>
      <c r="B1558" s="645"/>
      <c r="C1558" s="474">
        <f>SUM(C1556:C1557)</f>
        <v>0</v>
      </c>
      <c r="D1558" s="474">
        <f>SUM(D1556:D1557)</f>
        <v>0</v>
      </c>
      <c r="E1558" s="474">
        <f>SUM(E1556:E1557)</f>
        <v>0</v>
      </c>
      <c r="F1558" s="474">
        <f>ROUNDDOWN(SUM(F1556:H1557),0)</f>
        <v>4500</v>
      </c>
      <c r="G1558" s="474" t="e">
        <f>SUM(#REF!)</f>
        <v>#REF!</v>
      </c>
      <c r="H1558" s="474" t="e">
        <f>SUM(#REF!)</f>
        <v>#REF!</v>
      </c>
      <c r="I1558" s="474">
        <f>SUM(I1556:I1557)</f>
        <v>0</v>
      </c>
      <c r="J1558" s="474">
        <f>SUM(J1556:J1557)</f>
        <v>9200</v>
      </c>
      <c r="K1558" s="476"/>
      <c r="L1558" s="599"/>
    </row>
    <row r="1559" spans="1:16" ht="25.2" customHeight="1" x14ac:dyDescent="0.4">
      <c r="A1559" s="646" t="s">
        <v>18</v>
      </c>
      <c r="B1559" s="646"/>
      <c r="C1559" s="647">
        <f>C1558+D1558+E1558+F1558+I1558+J1558</f>
        <v>13700</v>
      </c>
      <c r="D1559" s="647"/>
      <c r="E1559" s="647"/>
      <c r="F1559" s="647"/>
      <c r="G1559" s="647"/>
      <c r="H1559" s="647"/>
      <c r="I1559" s="647"/>
      <c r="J1559" s="647"/>
      <c r="K1559" s="481"/>
      <c r="L1559" s="600" t="s">
        <v>822</v>
      </c>
    </row>
    <row r="1561" spans="1:16" ht="25.2" customHeight="1" x14ac:dyDescent="0.4">
      <c r="A1561" s="471" t="s">
        <v>0</v>
      </c>
      <c r="B1561" s="471" t="s">
        <v>1</v>
      </c>
      <c r="C1561" s="471" t="s">
        <v>4</v>
      </c>
      <c r="D1561" s="471" t="s">
        <v>287</v>
      </c>
      <c r="E1561" s="471" t="s">
        <v>74</v>
      </c>
      <c r="F1561" s="471" t="s">
        <v>3</v>
      </c>
      <c r="G1561" s="471" t="s">
        <v>4</v>
      </c>
      <c r="H1561" s="471" t="s">
        <v>5</v>
      </c>
      <c r="I1561" s="471" t="s">
        <v>6</v>
      </c>
      <c r="J1561" s="471" t="s">
        <v>7</v>
      </c>
      <c r="K1561" s="471" t="s">
        <v>60</v>
      </c>
      <c r="L1561" s="471" t="s">
        <v>8</v>
      </c>
      <c r="O1561" s="43">
        <v>1531.55</v>
      </c>
      <c r="P1561" s="43"/>
    </row>
    <row r="1562" spans="1:16" ht="24.6" customHeight="1" x14ac:dyDescent="0.4">
      <c r="A1562" s="625">
        <v>45876</v>
      </c>
      <c r="B1562" s="626" t="s">
        <v>390</v>
      </c>
      <c r="C1562" s="631"/>
      <c r="D1562" s="631"/>
      <c r="E1562" s="631"/>
      <c r="F1562" s="633">
        <f>O1562*N1562/9</f>
        <v>4500.0000000000036</v>
      </c>
      <c r="G1562" s="631"/>
      <c r="H1562" s="631"/>
      <c r="I1562" s="631"/>
      <c r="J1562" s="631"/>
      <c r="K1562" s="476" t="s">
        <v>824</v>
      </c>
      <c r="L1562" s="629">
        <f>N1562</f>
        <v>26.443798765956078</v>
      </c>
      <c r="N1562" s="1">
        <v>26.443798765956078</v>
      </c>
      <c r="O1562" s="366">
        <f>O1561</f>
        <v>1531.55</v>
      </c>
    </row>
    <row r="1563" spans="1:16" ht="25.2" customHeight="1" x14ac:dyDescent="0.4">
      <c r="A1563" s="648">
        <v>45887</v>
      </c>
      <c r="B1563" s="628" t="s">
        <v>390</v>
      </c>
      <c r="C1563" s="632"/>
      <c r="D1563" s="632"/>
      <c r="E1563" s="632">
        <v>2940</v>
      </c>
      <c r="F1563" s="634"/>
      <c r="G1563" s="632"/>
      <c r="H1563" s="632"/>
      <c r="I1563" s="632"/>
      <c r="J1563" s="632"/>
      <c r="K1563" s="352" t="s">
        <v>61</v>
      </c>
      <c r="L1563" s="627" t="s">
        <v>826</v>
      </c>
      <c r="P1563" s="43"/>
    </row>
    <row r="1564" spans="1:16" ht="25.2" customHeight="1" x14ac:dyDescent="0.4">
      <c r="A1564" s="649"/>
      <c r="B1564" s="628" t="s">
        <v>390</v>
      </c>
      <c r="C1564" s="632"/>
      <c r="D1564" s="632"/>
      <c r="E1564" s="632"/>
      <c r="F1564" s="634">
        <f>O1564*N1564/9</f>
        <v>16560</v>
      </c>
      <c r="G1564" s="632"/>
      <c r="H1564" s="632"/>
      <c r="I1564" s="632"/>
      <c r="J1564" s="632"/>
      <c r="K1564" s="352" t="s">
        <v>824</v>
      </c>
      <c r="L1564" s="629">
        <f>N1564</f>
        <v>97.313179458718295</v>
      </c>
      <c r="N1564" s="1">
        <v>97.313179458718295</v>
      </c>
      <c r="O1564" s="366">
        <f>O1561</f>
        <v>1531.55</v>
      </c>
    </row>
    <row r="1565" spans="1:16" ht="24.6" customHeight="1" x14ac:dyDescent="0.4">
      <c r="A1565" s="625">
        <v>45891</v>
      </c>
      <c r="B1565" s="626" t="s">
        <v>390</v>
      </c>
      <c r="C1565" s="631"/>
      <c r="D1565" s="631"/>
      <c r="E1565" s="631"/>
      <c r="F1565" s="633">
        <f>O1565*N1565/9</f>
        <v>4500.0000000000036</v>
      </c>
      <c r="G1565" s="631"/>
      <c r="H1565" s="631"/>
      <c r="I1565" s="631"/>
      <c r="J1565" s="631"/>
      <c r="K1565" s="476" t="s">
        <v>824</v>
      </c>
      <c r="L1565" s="629">
        <f>N1565</f>
        <v>26.443798765956078</v>
      </c>
      <c r="N1565" s="1">
        <v>26.443798765956078</v>
      </c>
      <c r="O1565" s="366">
        <f>O1561</f>
        <v>1531.55</v>
      </c>
    </row>
    <row r="1566" spans="1:16" ht="25.2" customHeight="1" x14ac:dyDescent="0.4">
      <c r="A1566" s="645" t="s">
        <v>17</v>
      </c>
      <c r="B1566" s="645"/>
      <c r="C1566" s="631">
        <f>SUM(C1562:C1565)</f>
        <v>0</v>
      </c>
      <c r="D1566" s="631">
        <f>SUM(D1562:D1565)</f>
        <v>0</v>
      </c>
      <c r="E1566" s="631">
        <f>SUM(E1562:E1565)</f>
        <v>2940</v>
      </c>
      <c r="F1566" s="631">
        <f>ROUNDDOWN(SUM(F1562:H1565),0)</f>
        <v>25560</v>
      </c>
      <c r="G1566" s="631" t="e">
        <f>SUM(#REF!)</f>
        <v>#REF!</v>
      </c>
      <c r="H1566" s="631" t="e">
        <f>SUM(#REF!)</f>
        <v>#REF!</v>
      </c>
      <c r="I1566" s="631">
        <f>SUM(I1562:I1565)</f>
        <v>0</v>
      </c>
      <c r="J1566" s="631">
        <f>SUM(J1562:J1565)</f>
        <v>0</v>
      </c>
      <c r="K1566" s="476" t="s">
        <v>825</v>
      </c>
      <c r="L1566" s="599"/>
    </row>
    <row r="1567" spans="1:16" ht="25.2" customHeight="1" x14ac:dyDescent="0.4">
      <c r="A1567" s="646" t="s">
        <v>18</v>
      </c>
      <c r="B1567" s="646"/>
      <c r="C1567" s="647">
        <f>C1566+D1566+E1566+F1566+I1566+J1566</f>
        <v>28500</v>
      </c>
      <c r="D1567" s="647"/>
      <c r="E1567" s="647"/>
      <c r="F1567" s="647"/>
      <c r="G1567" s="647"/>
      <c r="H1567" s="647"/>
      <c r="I1567" s="647"/>
      <c r="J1567" s="647"/>
      <c r="K1567" s="481" t="s">
        <v>824</v>
      </c>
      <c r="L1567" s="600" t="s">
        <v>822</v>
      </c>
    </row>
    <row r="1570" spans="1:16" ht="25.2" customHeight="1" x14ac:dyDescent="0.4">
      <c r="A1570" s="471" t="s">
        <v>0</v>
      </c>
      <c r="B1570" s="471" t="s">
        <v>1</v>
      </c>
      <c r="C1570" s="471" t="s">
        <v>4</v>
      </c>
      <c r="D1570" s="471" t="s">
        <v>287</v>
      </c>
      <c r="E1570" s="471" t="s">
        <v>74</v>
      </c>
      <c r="F1570" s="471" t="s">
        <v>3</v>
      </c>
      <c r="G1570" s="471" t="s">
        <v>4</v>
      </c>
      <c r="H1570" s="471" t="s">
        <v>5</v>
      </c>
      <c r="I1570" s="471" t="s">
        <v>6</v>
      </c>
      <c r="J1570" s="471" t="s">
        <v>7</v>
      </c>
      <c r="K1570" s="471" t="s">
        <v>60</v>
      </c>
      <c r="L1570" s="471" t="s">
        <v>8</v>
      </c>
      <c r="O1570" s="43">
        <v>1535.74</v>
      </c>
      <c r="P1570" s="43"/>
    </row>
    <row r="1571" spans="1:16" ht="24.6" customHeight="1" x14ac:dyDescent="0.4">
      <c r="A1571" s="642">
        <v>45904</v>
      </c>
      <c r="B1571" s="630" t="s">
        <v>390</v>
      </c>
      <c r="C1571" s="631"/>
      <c r="D1571" s="631"/>
      <c r="E1571" s="631"/>
      <c r="F1571" s="633">
        <f>O1571*N1571/9</f>
        <v>12000.000000000002</v>
      </c>
      <c r="G1571" s="631"/>
      <c r="H1571" s="631"/>
      <c r="I1571" s="631"/>
      <c r="J1571" s="631"/>
      <c r="K1571" s="476" t="s">
        <v>63</v>
      </c>
      <c r="L1571" s="629">
        <f>N1571</f>
        <v>70.32440387044683</v>
      </c>
      <c r="N1571" s="1">
        <v>70.32440387044683</v>
      </c>
      <c r="O1571" s="366">
        <f>O1570</f>
        <v>1535.74</v>
      </c>
    </row>
    <row r="1572" spans="1:16" ht="24.6" customHeight="1" x14ac:dyDescent="0.4">
      <c r="A1572" s="643"/>
      <c r="B1572" s="630" t="s">
        <v>390</v>
      </c>
      <c r="C1572" s="631"/>
      <c r="D1572" s="631"/>
      <c r="E1572" s="631"/>
      <c r="F1572" s="633"/>
      <c r="G1572" s="631"/>
      <c r="H1572" s="631"/>
      <c r="I1572" s="631"/>
      <c r="J1572" s="631">
        <v>8800</v>
      </c>
      <c r="K1572" s="352" t="s">
        <v>64</v>
      </c>
      <c r="L1572" s="629" t="s">
        <v>833</v>
      </c>
      <c r="O1572" s="366"/>
    </row>
    <row r="1573" spans="1:16" ht="24.6" customHeight="1" x14ac:dyDescent="0.4">
      <c r="A1573" s="643"/>
      <c r="B1573" s="630" t="s">
        <v>390</v>
      </c>
      <c r="C1573" s="631"/>
      <c r="D1573" s="631"/>
      <c r="E1573" s="631">
        <v>107000</v>
      </c>
      <c r="F1573" s="633"/>
      <c r="G1573" s="631"/>
      <c r="H1573" s="631"/>
      <c r="I1573" s="631"/>
      <c r="J1573" s="631"/>
      <c r="K1573" s="352" t="s">
        <v>65</v>
      </c>
      <c r="L1573" s="629" t="s">
        <v>827</v>
      </c>
      <c r="O1573" s="366"/>
    </row>
    <row r="1574" spans="1:16" ht="24.6" customHeight="1" x14ac:dyDescent="0.4">
      <c r="A1574" s="643"/>
      <c r="B1574" s="630" t="s">
        <v>390</v>
      </c>
      <c r="C1574" s="631"/>
      <c r="D1574" s="631"/>
      <c r="E1574" s="631">
        <v>3500</v>
      </c>
      <c r="F1574" s="633"/>
      <c r="G1574" s="631"/>
      <c r="H1574" s="631"/>
      <c r="I1574" s="631"/>
      <c r="J1574" s="631"/>
      <c r="K1574" s="352" t="s">
        <v>68</v>
      </c>
      <c r="L1574" s="629" t="s">
        <v>829</v>
      </c>
      <c r="O1574" s="366"/>
    </row>
    <row r="1575" spans="1:16" ht="24.6" customHeight="1" x14ac:dyDescent="0.4">
      <c r="A1575" s="643"/>
      <c r="B1575" s="630" t="s">
        <v>390</v>
      </c>
      <c r="C1575" s="631"/>
      <c r="D1575" s="631"/>
      <c r="E1575" s="631"/>
      <c r="F1575" s="633"/>
      <c r="G1575" s="631"/>
      <c r="H1575" s="631"/>
      <c r="I1575" s="631"/>
      <c r="J1575" s="631">
        <v>17800</v>
      </c>
      <c r="K1575" s="352" t="s">
        <v>62</v>
      </c>
      <c r="L1575" s="629" t="s">
        <v>832</v>
      </c>
      <c r="O1575" s="366"/>
    </row>
    <row r="1576" spans="1:16" ht="24.6" customHeight="1" x14ac:dyDescent="0.4">
      <c r="A1576" s="643"/>
      <c r="B1576" s="630" t="s">
        <v>390</v>
      </c>
      <c r="C1576" s="631"/>
      <c r="D1576" s="631"/>
      <c r="E1576" s="631">
        <v>107000</v>
      </c>
      <c r="F1576" s="633"/>
      <c r="G1576" s="631"/>
      <c r="H1576" s="631"/>
      <c r="I1576" s="631"/>
      <c r="J1576" s="631"/>
      <c r="K1576" s="352" t="s">
        <v>834</v>
      </c>
      <c r="L1576" s="629" t="s">
        <v>828</v>
      </c>
      <c r="O1576" s="366"/>
    </row>
    <row r="1577" spans="1:16" ht="24.6" customHeight="1" x14ac:dyDescent="0.4">
      <c r="A1577" s="643"/>
      <c r="B1577" s="630" t="s">
        <v>390</v>
      </c>
      <c r="C1577" s="631"/>
      <c r="D1577" s="631">
        <v>13000</v>
      </c>
      <c r="E1577" s="631"/>
      <c r="F1577" s="633"/>
      <c r="G1577" s="631"/>
      <c r="H1577" s="631"/>
      <c r="I1577" s="631"/>
      <c r="J1577" s="631"/>
      <c r="K1577" s="352" t="s">
        <v>61</v>
      </c>
      <c r="L1577" s="629" t="s">
        <v>831</v>
      </c>
      <c r="O1577" s="366"/>
    </row>
    <row r="1578" spans="1:16" ht="24.6" customHeight="1" x14ac:dyDescent="0.4">
      <c r="A1578" s="644"/>
      <c r="B1578" s="630" t="s">
        <v>390</v>
      </c>
      <c r="C1578" s="631"/>
      <c r="D1578" s="631"/>
      <c r="E1578" s="631">
        <v>4000</v>
      </c>
      <c r="F1578" s="633"/>
      <c r="G1578" s="631"/>
      <c r="H1578" s="631"/>
      <c r="I1578" s="631"/>
      <c r="J1578" s="631"/>
      <c r="K1578" s="352" t="s">
        <v>835</v>
      </c>
      <c r="L1578" s="629" t="s">
        <v>830</v>
      </c>
      <c r="O1578" s="366"/>
    </row>
    <row r="1579" spans="1:16" ht="25.2" customHeight="1" x14ac:dyDescent="0.4">
      <c r="A1579" s="645" t="s">
        <v>17</v>
      </c>
      <c r="B1579" s="645"/>
      <c r="C1579" s="631">
        <f>SUM(C1571:C1578)</f>
        <v>0</v>
      </c>
      <c r="D1579" s="631">
        <f>SUM(D1571:D1578)</f>
        <v>13000</v>
      </c>
      <c r="E1579" s="631">
        <f>SUM(E1571:E1578)</f>
        <v>221500</v>
      </c>
      <c r="F1579" s="631">
        <f>ROUNDDOWN(SUM(F1571:H1578),0)</f>
        <v>12000</v>
      </c>
      <c r="G1579" s="631" t="e">
        <f>SUM(#REF!)</f>
        <v>#REF!</v>
      </c>
      <c r="H1579" s="631" t="e">
        <f>SUM(#REF!)</f>
        <v>#REF!</v>
      </c>
      <c r="I1579" s="631">
        <f>SUM(I1571:I1578)</f>
        <v>0</v>
      </c>
      <c r="J1579" s="631">
        <f>SUM(J1571:J1578)</f>
        <v>26600</v>
      </c>
      <c r="K1579" s="476" t="s">
        <v>63</v>
      </c>
      <c r="L1579" s="599"/>
    </row>
    <row r="1580" spans="1:16" ht="25.2" customHeight="1" x14ac:dyDescent="0.4">
      <c r="A1580" s="646" t="s">
        <v>18</v>
      </c>
      <c r="B1580" s="646"/>
      <c r="C1580" s="647">
        <f>C1579+D1579+E1579+F1579+I1579+J1579</f>
        <v>273100</v>
      </c>
      <c r="D1580" s="647"/>
      <c r="E1580" s="647"/>
      <c r="F1580" s="647"/>
      <c r="G1580" s="647"/>
      <c r="H1580" s="647"/>
      <c r="I1580" s="647"/>
      <c r="J1580" s="647"/>
      <c r="K1580" s="481" t="s">
        <v>63</v>
      </c>
      <c r="L1580" s="635">
        <f>O1570</f>
        <v>1535.74</v>
      </c>
    </row>
    <row r="1583" spans="1:16" ht="25.2" customHeight="1" x14ac:dyDescent="0.4">
      <c r="A1583" s="471" t="s">
        <v>0</v>
      </c>
      <c r="B1583" s="471" t="s">
        <v>1</v>
      </c>
      <c r="C1583" s="471" t="s">
        <v>4</v>
      </c>
      <c r="D1583" s="471" t="s">
        <v>287</v>
      </c>
      <c r="E1583" s="471" t="s">
        <v>74</v>
      </c>
      <c r="F1583" s="471" t="s">
        <v>3</v>
      </c>
      <c r="G1583" s="471" t="s">
        <v>4</v>
      </c>
      <c r="H1583" s="471" t="s">
        <v>5</v>
      </c>
      <c r="I1583" s="471" t="s">
        <v>6</v>
      </c>
      <c r="J1583" s="471" t="s">
        <v>7</v>
      </c>
      <c r="K1583" s="471" t="s">
        <v>60</v>
      </c>
      <c r="L1583" s="471" t="s">
        <v>8</v>
      </c>
      <c r="O1583" s="43">
        <v>1535.74</v>
      </c>
      <c r="P1583" s="43"/>
    </row>
    <row r="1584" spans="1:16" ht="24.6" customHeight="1" x14ac:dyDescent="0.4">
      <c r="A1584" s="636">
        <v>45922</v>
      </c>
      <c r="B1584" s="637" t="s">
        <v>390</v>
      </c>
      <c r="C1584" s="631"/>
      <c r="D1584" s="631"/>
      <c r="E1584" s="631"/>
      <c r="F1584" s="633"/>
      <c r="G1584" s="631"/>
      <c r="H1584" s="631"/>
      <c r="I1584" s="631"/>
      <c r="J1584" s="631">
        <f>7900+8400</f>
        <v>16300</v>
      </c>
      <c r="K1584" s="352" t="s">
        <v>836</v>
      </c>
      <c r="L1584" s="629" t="s">
        <v>837</v>
      </c>
      <c r="O1584" s="366"/>
    </row>
    <row r="1585" spans="1:16" ht="25.2" customHeight="1" x14ac:dyDescent="0.4">
      <c r="A1585" s="645" t="s">
        <v>17</v>
      </c>
      <c r="B1585" s="645"/>
      <c r="C1585" s="631">
        <f>SUM(C1584:C1584)</f>
        <v>0</v>
      </c>
      <c r="D1585" s="631">
        <f>SUM(D1584:D1584)</f>
        <v>0</v>
      </c>
      <c r="E1585" s="631">
        <f>SUM(E1584:E1584)</f>
        <v>0</v>
      </c>
      <c r="F1585" s="631">
        <f>ROUNDDOWN(SUM(F1584:H1584),0)</f>
        <v>0</v>
      </c>
      <c r="G1585" s="631" t="e">
        <f>SUM(#REF!)</f>
        <v>#REF!</v>
      </c>
      <c r="H1585" s="631" t="e">
        <f>SUM(#REF!)</f>
        <v>#REF!</v>
      </c>
      <c r="I1585" s="631">
        <f>SUM(I1584:I1584)</f>
        <v>0</v>
      </c>
      <c r="J1585" s="631">
        <f>SUM(J1584:J1584)</f>
        <v>16300</v>
      </c>
      <c r="K1585" s="476" t="s">
        <v>63</v>
      </c>
      <c r="L1585" s="599"/>
    </row>
    <row r="1586" spans="1:16" ht="25.2" customHeight="1" x14ac:dyDescent="0.4">
      <c r="A1586" s="646" t="s">
        <v>18</v>
      </c>
      <c r="B1586" s="646"/>
      <c r="C1586" s="647">
        <f>C1585+D1585+E1585+F1585+I1585+J1585</f>
        <v>16300</v>
      </c>
      <c r="D1586" s="647"/>
      <c r="E1586" s="647"/>
      <c r="F1586" s="647"/>
      <c r="G1586" s="647"/>
      <c r="H1586" s="647"/>
      <c r="I1586" s="647"/>
      <c r="J1586" s="647"/>
      <c r="K1586" s="481" t="s">
        <v>63</v>
      </c>
      <c r="L1586" s="635"/>
    </row>
    <row r="1589" spans="1:16" ht="25.2" customHeight="1" x14ac:dyDescent="0.4">
      <c r="A1589" s="471" t="s">
        <v>0</v>
      </c>
      <c r="B1589" s="471" t="s">
        <v>1</v>
      </c>
      <c r="C1589" s="471" t="s">
        <v>4</v>
      </c>
      <c r="D1589" s="471" t="s">
        <v>287</v>
      </c>
      <c r="E1589" s="471" t="s">
        <v>74</v>
      </c>
      <c r="F1589" s="471" t="s">
        <v>3</v>
      </c>
      <c r="G1589" s="471" t="s">
        <v>4</v>
      </c>
      <c r="H1589" s="471" t="s">
        <v>5</v>
      </c>
      <c r="I1589" s="471" t="s">
        <v>6</v>
      </c>
      <c r="J1589" s="471" t="s">
        <v>7</v>
      </c>
      <c r="K1589" s="471" t="s">
        <v>60</v>
      </c>
      <c r="L1589" s="471" t="s">
        <v>8</v>
      </c>
      <c r="O1589" s="43">
        <v>1535.74</v>
      </c>
      <c r="P1589" s="43"/>
    </row>
    <row r="1590" spans="1:16" ht="24.6" customHeight="1" x14ac:dyDescent="0.4">
      <c r="A1590" s="642">
        <v>45917</v>
      </c>
      <c r="B1590" s="637" t="s">
        <v>390</v>
      </c>
      <c r="C1590" s="631"/>
      <c r="D1590" s="631"/>
      <c r="E1590" s="631"/>
      <c r="F1590" s="633">
        <f>O1590*N1590/9</f>
        <v>12400</v>
      </c>
      <c r="G1590" s="631"/>
      <c r="H1590" s="631"/>
      <c r="I1590" s="631"/>
      <c r="J1590" s="631"/>
      <c r="K1590" s="476" t="s">
        <v>63</v>
      </c>
      <c r="L1590" s="629">
        <f>N1590</f>
        <v>72.668550666128382</v>
      </c>
      <c r="N1590" s="1">
        <v>72.668550666128382</v>
      </c>
      <c r="O1590" s="366">
        <f>O1589</f>
        <v>1535.74</v>
      </c>
    </row>
    <row r="1591" spans="1:16" ht="24.6" customHeight="1" x14ac:dyDescent="0.4">
      <c r="A1591" s="643"/>
      <c r="B1591" s="637" t="s">
        <v>390</v>
      </c>
      <c r="C1591" s="631"/>
      <c r="D1591" s="631"/>
      <c r="E1591" s="631">
        <v>3600</v>
      </c>
      <c r="F1591" s="633"/>
      <c r="G1591" s="631"/>
      <c r="H1591" s="631"/>
      <c r="I1591" s="631"/>
      <c r="J1591" s="631"/>
      <c r="K1591" s="352" t="s">
        <v>204</v>
      </c>
      <c r="L1591" s="629" t="s">
        <v>838</v>
      </c>
      <c r="O1591" s="366"/>
    </row>
    <row r="1592" spans="1:16" ht="25.2" customHeight="1" x14ac:dyDescent="0.4">
      <c r="A1592" s="645" t="s">
        <v>17</v>
      </c>
      <c r="B1592" s="645"/>
      <c r="C1592" s="631">
        <f>SUM(C1590:C1591)</f>
        <v>0</v>
      </c>
      <c r="D1592" s="631">
        <f>SUM(D1590:D1591)</f>
        <v>0</v>
      </c>
      <c r="E1592" s="631">
        <f>SUM(E1590:E1591)</f>
        <v>3600</v>
      </c>
      <c r="F1592" s="631">
        <f>ROUNDDOWN(SUM(F1590:H1591),0)</f>
        <v>12400</v>
      </c>
      <c r="G1592" s="631" t="e">
        <f>SUM(#REF!)</f>
        <v>#REF!</v>
      </c>
      <c r="H1592" s="631" t="e">
        <f>SUM(#REF!)</f>
        <v>#REF!</v>
      </c>
      <c r="I1592" s="631">
        <f>SUM(I1590:I1591)</f>
        <v>0</v>
      </c>
      <c r="J1592" s="631">
        <f>SUM(J1590:J1591)</f>
        <v>0</v>
      </c>
      <c r="K1592" s="476" t="s">
        <v>63</v>
      </c>
      <c r="L1592" s="599"/>
    </row>
    <row r="1593" spans="1:16" ht="25.2" customHeight="1" x14ac:dyDescent="0.4">
      <c r="A1593" s="646" t="s">
        <v>18</v>
      </c>
      <c r="B1593" s="646"/>
      <c r="C1593" s="647">
        <f>C1592+D1592+E1592+F1592+I1592+J1592</f>
        <v>16000</v>
      </c>
      <c r="D1593" s="647"/>
      <c r="E1593" s="647"/>
      <c r="F1593" s="647"/>
      <c r="G1593" s="647"/>
      <c r="H1593" s="647"/>
      <c r="I1593" s="647"/>
      <c r="J1593" s="647"/>
      <c r="K1593" s="481" t="s">
        <v>63</v>
      </c>
      <c r="L1593" s="635">
        <f>O1589</f>
        <v>1535.74</v>
      </c>
    </row>
    <row r="1596" spans="1:16" ht="25.2" customHeight="1" x14ac:dyDescent="0.4">
      <c r="A1596" s="471" t="s">
        <v>0</v>
      </c>
      <c r="B1596" s="471" t="s">
        <v>1</v>
      </c>
      <c r="C1596" s="471" t="s">
        <v>4</v>
      </c>
      <c r="D1596" s="471" t="s">
        <v>287</v>
      </c>
      <c r="E1596" s="471" t="s">
        <v>74</v>
      </c>
      <c r="F1596" s="471" t="s">
        <v>3</v>
      </c>
      <c r="G1596" s="471" t="s">
        <v>4</v>
      </c>
      <c r="H1596" s="471" t="s">
        <v>5</v>
      </c>
      <c r="I1596" s="471" t="s">
        <v>6</v>
      </c>
      <c r="J1596" s="471" t="s">
        <v>7</v>
      </c>
      <c r="K1596" s="471" t="s">
        <v>60</v>
      </c>
      <c r="L1596" s="471" t="s">
        <v>8</v>
      </c>
      <c r="O1596" s="43">
        <v>1535.74</v>
      </c>
      <c r="P1596" s="43"/>
    </row>
    <row r="1597" spans="1:16" ht="24.6" customHeight="1" x14ac:dyDescent="0.4">
      <c r="A1597" s="642">
        <v>45923</v>
      </c>
      <c r="B1597" s="638" t="s">
        <v>390</v>
      </c>
      <c r="C1597" s="631"/>
      <c r="D1597" s="631"/>
      <c r="E1597" s="631"/>
      <c r="F1597" s="633">
        <f>O1597*N1597/9</f>
        <v>15999.999999999996</v>
      </c>
      <c r="G1597" s="631"/>
      <c r="H1597" s="631"/>
      <c r="I1597" s="631"/>
      <c r="J1597" s="631"/>
      <c r="K1597" s="476" t="s">
        <v>63</v>
      </c>
      <c r="L1597" s="629">
        <f>N1597</f>
        <v>93.765871827262401</v>
      </c>
      <c r="N1597" s="1">
        <v>93.765871827262401</v>
      </c>
      <c r="O1597" s="366">
        <f>O1596</f>
        <v>1535.74</v>
      </c>
    </row>
    <row r="1598" spans="1:16" ht="24.6" customHeight="1" x14ac:dyDescent="0.4">
      <c r="A1598" s="643"/>
      <c r="B1598" s="638" t="s">
        <v>390</v>
      </c>
      <c r="C1598" s="631"/>
      <c r="D1598" s="631"/>
      <c r="E1598" s="631">
        <f>10000+750</f>
        <v>10750</v>
      </c>
      <c r="F1598" s="633"/>
      <c r="G1598" s="631"/>
      <c r="H1598" s="631"/>
      <c r="I1598" s="631"/>
      <c r="J1598" s="631"/>
      <c r="K1598" s="476" t="s">
        <v>839</v>
      </c>
      <c r="L1598" s="629" t="s">
        <v>830</v>
      </c>
      <c r="O1598" s="366"/>
    </row>
    <row r="1599" spans="1:16" ht="24.6" customHeight="1" x14ac:dyDescent="0.4">
      <c r="A1599" s="643"/>
      <c r="B1599" s="638" t="s">
        <v>390</v>
      </c>
      <c r="C1599" s="631"/>
      <c r="D1599" s="631"/>
      <c r="E1599" s="631"/>
      <c r="F1599" s="633"/>
      <c r="G1599" s="631"/>
      <c r="H1599" s="631"/>
      <c r="I1599" s="631"/>
      <c r="J1599" s="631">
        <v>30000</v>
      </c>
      <c r="K1599" s="352"/>
      <c r="L1599" s="629" t="s">
        <v>840</v>
      </c>
      <c r="O1599" s="366"/>
    </row>
    <row r="1600" spans="1:16" ht="24.6" customHeight="1" x14ac:dyDescent="0.4">
      <c r="A1600" s="644"/>
      <c r="B1600" s="638" t="s">
        <v>390</v>
      </c>
      <c r="C1600" s="631"/>
      <c r="D1600" s="631"/>
      <c r="E1600" s="631"/>
      <c r="F1600" s="633"/>
      <c r="G1600" s="631"/>
      <c r="H1600" s="631"/>
      <c r="I1600" s="631">
        <v>15000</v>
      </c>
      <c r="J1600" s="631"/>
      <c r="K1600" s="352"/>
      <c r="L1600" s="629" t="s">
        <v>841</v>
      </c>
      <c r="O1600" s="366"/>
    </row>
    <row r="1601" spans="1:15" ht="24.6" customHeight="1" x14ac:dyDescent="0.4">
      <c r="A1601" s="642">
        <v>45924</v>
      </c>
      <c r="B1601" s="638" t="s">
        <v>390</v>
      </c>
      <c r="C1601" s="631"/>
      <c r="D1601" s="631"/>
      <c r="E1601" s="631"/>
      <c r="F1601" s="633">
        <f>O1601*N1601/9</f>
        <v>0</v>
      </c>
      <c r="G1601" s="631"/>
      <c r="H1601" s="631"/>
      <c r="I1601" s="631"/>
      <c r="J1601" s="631"/>
      <c r="K1601" s="476"/>
      <c r="L1601" s="629">
        <f>N1601</f>
        <v>0</v>
      </c>
      <c r="N1601" s="1">
        <v>0</v>
      </c>
      <c r="O1601" s="366">
        <f>O1596</f>
        <v>1535.74</v>
      </c>
    </row>
    <row r="1602" spans="1:15" ht="24.6" customHeight="1" x14ac:dyDescent="0.4">
      <c r="A1602" s="643"/>
      <c r="B1602" s="638" t="s">
        <v>390</v>
      </c>
      <c r="C1602" s="631"/>
      <c r="D1602" s="631"/>
      <c r="E1602" s="631"/>
      <c r="F1602" s="633"/>
      <c r="G1602" s="631"/>
      <c r="H1602" s="631"/>
      <c r="I1602" s="631"/>
      <c r="J1602" s="631">
        <v>30000</v>
      </c>
      <c r="K1602" s="352"/>
      <c r="L1602" s="629" t="s">
        <v>840</v>
      </c>
      <c r="O1602" s="366"/>
    </row>
    <row r="1603" spans="1:15" ht="24.6" customHeight="1" x14ac:dyDescent="0.4">
      <c r="A1603" s="644"/>
      <c r="B1603" s="638" t="s">
        <v>390</v>
      </c>
      <c r="C1603" s="631"/>
      <c r="D1603" s="631"/>
      <c r="E1603" s="631"/>
      <c r="F1603" s="633"/>
      <c r="G1603" s="631"/>
      <c r="H1603" s="631"/>
      <c r="I1603" s="631">
        <v>15000</v>
      </c>
      <c r="J1603" s="631"/>
      <c r="K1603" s="352"/>
      <c r="L1603" s="629" t="s">
        <v>841</v>
      </c>
      <c r="O1603" s="366"/>
    </row>
    <row r="1604" spans="1:15" ht="24.6" customHeight="1" x14ac:dyDescent="0.4">
      <c r="A1604" s="642">
        <v>45925</v>
      </c>
      <c r="B1604" s="638" t="s">
        <v>390</v>
      </c>
      <c r="C1604" s="631"/>
      <c r="D1604" s="631"/>
      <c r="E1604" s="631"/>
      <c r="F1604" s="633">
        <f>O1604*N1604/9</f>
        <v>0</v>
      </c>
      <c r="G1604" s="631"/>
      <c r="H1604" s="631"/>
      <c r="I1604" s="631"/>
      <c r="J1604" s="631"/>
      <c r="K1604" s="476"/>
      <c r="L1604" s="629">
        <f>N1604</f>
        <v>0</v>
      </c>
      <c r="N1604" s="1">
        <v>0</v>
      </c>
      <c r="O1604" s="366">
        <f>O1590</f>
        <v>1535.74</v>
      </c>
    </row>
    <row r="1605" spans="1:15" ht="24.6" customHeight="1" x14ac:dyDescent="0.4">
      <c r="A1605" s="643"/>
      <c r="B1605" s="638" t="s">
        <v>390</v>
      </c>
      <c r="C1605" s="631"/>
      <c r="D1605" s="631"/>
      <c r="E1605" s="631"/>
      <c r="F1605" s="633"/>
      <c r="G1605" s="631"/>
      <c r="H1605" s="631"/>
      <c r="I1605" s="631"/>
      <c r="J1605" s="631">
        <v>30000</v>
      </c>
      <c r="K1605" s="352"/>
      <c r="L1605" s="629" t="s">
        <v>840</v>
      </c>
      <c r="O1605" s="366"/>
    </row>
    <row r="1606" spans="1:15" ht="24.6" customHeight="1" x14ac:dyDescent="0.4">
      <c r="A1606" s="644"/>
      <c r="B1606" s="638" t="s">
        <v>390</v>
      </c>
      <c r="C1606" s="631"/>
      <c r="D1606" s="631"/>
      <c r="E1606" s="631"/>
      <c r="F1606" s="633"/>
      <c r="G1606" s="631"/>
      <c r="H1606" s="631"/>
      <c r="I1606" s="631">
        <v>15000</v>
      </c>
      <c r="J1606" s="631"/>
      <c r="K1606" s="352"/>
      <c r="L1606" s="629" t="s">
        <v>841</v>
      </c>
      <c r="O1606" s="366"/>
    </row>
    <row r="1607" spans="1:15" ht="24.6" customHeight="1" x14ac:dyDescent="0.4">
      <c r="A1607" s="642">
        <v>45926</v>
      </c>
      <c r="B1607" s="638" t="s">
        <v>390</v>
      </c>
      <c r="C1607" s="631"/>
      <c r="D1607" s="631"/>
      <c r="E1607" s="631"/>
      <c r="F1607" s="633">
        <f>O1607*N1607/9</f>
        <v>0</v>
      </c>
      <c r="G1607" s="631"/>
      <c r="H1607" s="631"/>
      <c r="I1607" s="631"/>
      <c r="J1607" s="631"/>
      <c r="K1607" s="476"/>
      <c r="L1607" s="629">
        <f>N1607</f>
        <v>0</v>
      </c>
      <c r="N1607" s="1">
        <v>0</v>
      </c>
      <c r="O1607" s="366">
        <f>O1593</f>
        <v>0</v>
      </c>
    </row>
    <row r="1608" spans="1:15" ht="24.6" customHeight="1" x14ac:dyDescent="0.4">
      <c r="A1608" s="643"/>
      <c r="B1608" s="638" t="s">
        <v>390</v>
      </c>
      <c r="C1608" s="631"/>
      <c r="D1608" s="631"/>
      <c r="E1608" s="631"/>
      <c r="F1608" s="633"/>
      <c r="G1608" s="631"/>
      <c r="H1608" s="631"/>
      <c r="I1608" s="631"/>
      <c r="J1608" s="631">
        <v>30000</v>
      </c>
      <c r="K1608" s="352"/>
      <c r="L1608" s="629" t="s">
        <v>840</v>
      </c>
      <c r="O1608" s="366"/>
    </row>
    <row r="1609" spans="1:15" ht="24.6" customHeight="1" x14ac:dyDescent="0.4">
      <c r="A1609" s="644"/>
      <c r="B1609" s="638" t="s">
        <v>390</v>
      </c>
      <c r="C1609" s="631"/>
      <c r="D1609" s="631"/>
      <c r="E1609" s="631"/>
      <c r="F1609" s="633"/>
      <c r="G1609" s="631"/>
      <c r="H1609" s="631"/>
      <c r="I1609" s="631">
        <v>15000</v>
      </c>
      <c r="J1609" s="631"/>
      <c r="K1609" s="352"/>
      <c r="L1609" s="629" t="s">
        <v>841</v>
      </c>
      <c r="O1609" s="366"/>
    </row>
    <row r="1610" spans="1:15" ht="24.6" customHeight="1" x14ac:dyDescent="0.4">
      <c r="A1610" s="642">
        <v>45927</v>
      </c>
      <c r="B1610" s="638" t="s">
        <v>390</v>
      </c>
      <c r="C1610" s="631"/>
      <c r="D1610" s="631"/>
      <c r="E1610" s="631"/>
      <c r="F1610" s="633">
        <f>O1610*N1610/9</f>
        <v>0</v>
      </c>
      <c r="G1610" s="631"/>
      <c r="H1610" s="631"/>
      <c r="I1610" s="631"/>
      <c r="J1610" s="631"/>
      <c r="K1610" s="476"/>
      <c r="L1610" s="629">
        <f>N1610</f>
        <v>0</v>
      </c>
      <c r="N1610" s="1">
        <v>0</v>
      </c>
      <c r="O1610" s="366">
        <f>O1596</f>
        <v>1535.74</v>
      </c>
    </row>
    <row r="1611" spans="1:15" ht="24.6" customHeight="1" x14ac:dyDescent="0.4">
      <c r="A1611" s="643"/>
      <c r="B1611" s="638" t="s">
        <v>390</v>
      </c>
      <c r="C1611" s="631"/>
      <c r="D1611" s="631"/>
      <c r="E1611" s="631"/>
      <c r="F1611" s="633"/>
      <c r="G1611" s="631"/>
      <c r="H1611" s="631"/>
      <c r="I1611" s="631"/>
      <c r="J1611" s="631">
        <v>30000</v>
      </c>
      <c r="K1611" s="352"/>
      <c r="L1611" s="629" t="s">
        <v>840</v>
      </c>
      <c r="O1611" s="366"/>
    </row>
    <row r="1612" spans="1:15" ht="24.6" customHeight="1" x14ac:dyDescent="0.4">
      <c r="A1612" s="644"/>
      <c r="B1612" s="638" t="s">
        <v>390</v>
      </c>
      <c r="C1612" s="631"/>
      <c r="D1612" s="631"/>
      <c r="E1612" s="631"/>
      <c r="F1612" s="633"/>
      <c r="G1612" s="631"/>
      <c r="H1612" s="631"/>
      <c r="I1612" s="631">
        <v>15000</v>
      </c>
      <c r="J1612" s="631"/>
      <c r="K1612" s="352"/>
      <c r="L1612" s="629" t="s">
        <v>841</v>
      </c>
      <c r="O1612" s="366"/>
    </row>
    <row r="1613" spans="1:15" ht="24.6" customHeight="1" x14ac:dyDescent="0.4">
      <c r="A1613" s="642">
        <v>45928</v>
      </c>
      <c r="B1613" s="638" t="s">
        <v>390</v>
      </c>
      <c r="C1613" s="631"/>
      <c r="D1613" s="631"/>
      <c r="E1613" s="631"/>
      <c r="F1613" s="633">
        <f>O1613*N1613/9</f>
        <v>15999.999999999996</v>
      </c>
      <c r="G1613" s="631"/>
      <c r="H1613" s="631"/>
      <c r="I1613" s="631"/>
      <c r="J1613" s="631"/>
      <c r="K1613" s="476"/>
      <c r="L1613" s="629">
        <f>N1613</f>
        <v>93.765871827262401</v>
      </c>
      <c r="N1613" s="1">
        <v>93.765871827262401</v>
      </c>
      <c r="O1613" s="366">
        <f>O1596</f>
        <v>1535.74</v>
      </c>
    </row>
    <row r="1614" spans="1:15" ht="24.6" customHeight="1" x14ac:dyDescent="0.4">
      <c r="A1614" s="643"/>
      <c r="B1614" s="638" t="s">
        <v>390</v>
      </c>
      <c r="C1614" s="631"/>
      <c r="D1614" s="631"/>
      <c r="E1614" s="631"/>
      <c r="F1614" s="633"/>
      <c r="G1614" s="631"/>
      <c r="H1614" s="631"/>
      <c r="I1614" s="631"/>
      <c r="J1614" s="631">
        <v>30000</v>
      </c>
      <c r="K1614" s="352"/>
      <c r="L1614" s="629" t="s">
        <v>833</v>
      </c>
      <c r="O1614" s="366"/>
    </row>
    <row r="1615" spans="1:15" ht="24.6" customHeight="1" x14ac:dyDescent="0.4">
      <c r="A1615" s="643"/>
      <c r="B1615" s="638" t="s">
        <v>390</v>
      </c>
      <c r="C1615" s="631"/>
      <c r="D1615" s="631"/>
      <c r="E1615" s="631">
        <f>8000+1500</f>
        <v>9500</v>
      </c>
      <c r="F1615" s="633"/>
      <c r="G1615" s="631"/>
      <c r="H1615" s="631"/>
      <c r="I1615" s="631"/>
      <c r="J1615" s="631"/>
      <c r="K1615" s="476" t="s">
        <v>839</v>
      </c>
      <c r="L1615" s="629" t="s">
        <v>840</v>
      </c>
      <c r="O1615" s="366"/>
    </row>
    <row r="1616" spans="1:15" ht="24.6" customHeight="1" x14ac:dyDescent="0.4">
      <c r="A1616" s="644"/>
      <c r="B1616" s="638" t="s">
        <v>390</v>
      </c>
      <c r="C1616" s="631"/>
      <c r="D1616" s="631"/>
      <c r="E1616" s="631"/>
      <c r="F1616" s="633"/>
      <c r="G1616" s="631"/>
      <c r="H1616" s="631"/>
      <c r="I1616" s="631">
        <v>15000</v>
      </c>
      <c r="J1616" s="631"/>
      <c r="K1616" s="352"/>
      <c r="L1616" s="629" t="s">
        <v>841</v>
      </c>
      <c r="O1616" s="366"/>
    </row>
    <row r="1617" spans="1:16" ht="25.2" customHeight="1" x14ac:dyDescent="0.4">
      <c r="A1617" s="645" t="s">
        <v>17</v>
      </c>
      <c r="B1617" s="645"/>
      <c r="C1617" s="631">
        <f>SUM(C1597:C1616)</f>
        <v>0</v>
      </c>
      <c r="D1617" s="631">
        <f>SUM(D1597:D1616)</f>
        <v>0</v>
      </c>
      <c r="E1617" s="631">
        <f>SUM(E1597:E1616)</f>
        <v>20250</v>
      </c>
      <c r="F1617" s="631">
        <f>ROUNDDOWN(SUM(F1597:H1616),0)</f>
        <v>32000</v>
      </c>
      <c r="G1617" s="631" t="e">
        <f>SUM(#REF!)</f>
        <v>#REF!</v>
      </c>
      <c r="H1617" s="631" t="e">
        <f>SUM(#REF!)</f>
        <v>#REF!</v>
      </c>
      <c r="I1617" s="631">
        <f>SUM(I1597:I1616)</f>
        <v>90000</v>
      </c>
      <c r="J1617" s="631">
        <f>SUM(J1597:J1616)</f>
        <v>180000</v>
      </c>
      <c r="K1617" s="476" t="s">
        <v>63</v>
      </c>
      <c r="L1617" s="599"/>
    </row>
    <row r="1618" spans="1:16" ht="25.2" customHeight="1" x14ac:dyDescent="0.4">
      <c r="A1618" s="646" t="s">
        <v>18</v>
      </c>
      <c r="B1618" s="646"/>
      <c r="C1618" s="647">
        <f>C1617+D1617+E1617+F1617+I1617+J1617</f>
        <v>322250</v>
      </c>
      <c r="D1618" s="647"/>
      <c r="E1618" s="647"/>
      <c r="F1618" s="647"/>
      <c r="G1618" s="647"/>
      <c r="H1618" s="647"/>
      <c r="I1618" s="647"/>
      <c r="J1618" s="647"/>
      <c r="K1618" s="481" t="s">
        <v>63</v>
      </c>
      <c r="L1618" s="635">
        <f>O1596</f>
        <v>1535.74</v>
      </c>
    </row>
    <row r="1620" spans="1:16" ht="25.2" customHeight="1" x14ac:dyDescent="0.4">
      <c r="A1620" s="471" t="s">
        <v>0</v>
      </c>
      <c r="B1620" s="471" t="s">
        <v>1</v>
      </c>
      <c r="C1620" s="471" t="s">
        <v>4</v>
      </c>
      <c r="D1620" s="471" t="s">
        <v>287</v>
      </c>
      <c r="E1620" s="471" t="s">
        <v>74</v>
      </c>
      <c r="F1620" s="471" t="s">
        <v>3</v>
      </c>
      <c r="G1620" s="471" t="s">
        <v>4</v>
      </c>
      <c r="H1620" s="471" t="s">
        <v>5</v>
      </c>
      <c r="I1620" s="471" t="s">
        <v>6</v>
      </c>
      <c r="J1620" s="471" t="s">
        <v>7</v>
      </c>
      <c r="K1620" s="471" t="s">
        <v>60</v>
      </c>
      <c r="L1620" s="471" t="s">
        <v>8</v>
      </c>
      <c r="O1620" s="43">
        <v>1530.67</v>
      </c>
      <c r="P1620" s="43"/>
    </row>
    <row r="1621" spans="1:16" ht="24.6" customHeight="1" x14ac:dyDescent="0.4">
      <c r="A1621" s="642">
        <v>45929</v>
      </c>
      <c r="B1621" s="639" t="s">
        <v>390</v>
      </c>
      <c r="C1621" s="631"/>
      <c r="D1621" s="631"/>
      <c r="E1621" s="631"/>
      <c r="F1621" s="633">
        <f>O1621*N1621/9</f>
        <v>16000</v>
      </c>
      <c r="G1621" s="631"/>
      <c r="H1621" s="631"/>
      <c r="I1621" s="631"/>
      <c r="J1621" s="631"/>
      <c r="K1621" s="476" t="s">
        <v>63</v>
      </c>
      <c r="L1621" s="629">
        <f>N1621</f>
        <v>94.076450181946456</v>
      </c>
      <c r="N1621" s="1">
        <v>94.076450181946456</v>
      </c>
      <c r="O1621" s="366">
        <f>O1620</f>
        <v>1530.67</v>
      </c>
    </row>
    <row r="1622" spans="1:16" ht="24.6" customHeight="1" x14ac:dyDescent="0.4">
      <c r="A1622" s="643"/>
      <c r="B1622" s="639" t="s">
        <v>390</v>
      </c>
      <c r="C1622" s="631"/>
      <c r="D1622" s="631"/>
      <c r="E1622" s="631">
        <f>10000+750</f>
        <v>10750</v>
      </c>
      <c r="F1622" s="633"/>
      <c r="G1622" s="631"/>
      <c r="H1622" s="631"/>
      <c r="I1622" s="631"/>
      <c r="J1622" s="631"/>
      <c r="K1622" s="476" t="s">
        <v>839</v>
      </c>
      <c r="L1622" s="629" t="s">
        <v>830</v>
      </c>
      <c r="O1622" s="366"/>
    </row>
    <row r="1623" spans="1:16" ht="24.6" customHeight="1" x14ac:dyDescent="0.4">
      <c r="A1623" s="643"/>
      <c r="B1623" s="639" t="s">
        <v>390</v>
      </c>
      <c r="C1623" s="631"/>
      <c r="D1623" s="631"/>
      <c r="E1623" s="631"/>
      <c r="F1623" s="633"/>
      <c r="G1623" s="631"/>
      <c r="H1623" s="631"/>
      <c r="I1623" s="631"/>
      <c r="J1623" s="631">
        <v>30000</v>
      </c>
      <c r="K1623" s="352"/>
      <c r="L1623" s="629" t="s">
        <v>840</v>
      </c>
      <c r="O1623" s="366"/>
    </row>
    <row r="1624" spans="1:16" ht="24.6" customHeight="1" x14ac:dyDescent="0.4">
      <c r="A1624" s="644"/>
      <c r="B1624" s="639" t="s">
        <v>390</v>
      </c>
      <c r="C1624" s="631"/>
      <c r="D1624" s="631"/>
      <c r="E1624" s="631"/>
      <c r="F1624" s="633"/>
      <c r="G1624" s="631"/>
      <c r="H1624" s="631"/>
      <c r="I1624" s="631">
        <v>15000</v>
      </c>
      <c r="J1624" s="631"/>
      <c r="K1624" s="352"/>
      <c r="L1624" s="629" t="s">
        <v>841</v>
      </c>
      <c r="O1624" s="366"/>
    </row>
    <row r="1625" spans="1:16" ht="24.6" customHeight="1" x14ac:dyDescent="0.4">
      <c r="A1625" s="642">
        <v>45930</v>
      </c>
      <c r="B1625" s="639" t="s">
        <v>390</v>
      </c>
      <c r="C1625" s="631"/>
      <c r="D1625" s="631"/>
      <c r="E1625" s="631"/>
      <c r="F1625" s="633"/>
      <c r="G1625" s="631"/>
      <c r="H1625" s="631"/>
      <c r="I1625" s="631"/>
      <c r="J1625" s="631">
        <v>30000</v>
      </c>
      <c r="K1625" s="352"/>
      <c r="L1625" s="629" t="s">
        <v>840</v>
      </c>
      <c r="O1625" s="366"/>
    </row>
    <row r="1626" spans="1:16" ht="24.6" customHeight="1" x14ac:dyDescent="0.4">
      <c r="A1626" s="644"/>
      <c r="B1626" s="639" t="s">
        <v>390</v>
      </c>
      <c r="C1626" s="631"/>
      <c r="D1626" s="631"/>
      <c r="E1626" s="631"/>
      <c r="F1626" s="633"/>
      <c r="G1626" s="631"/>
      <c r="H1626" s="631"/>
      <c r="I1626" s="631">
        <v>15000</v>
      </c>
      <c r="J1626" s="631"/>
      <c r="K1626" s="352"/>
      <c r="L1626" s="629" t="s">
        <v>841</v>
      </c>
      <c r="O1626" s="366"/>
    </row>
    <row r="1627" spans="1:16" ht="24.6" customHeight="1" x14ac:dyDescent="0.4">
      <c r="A1627" s="642">
        <v>45931</v>
      </c>
      <c r="B1627" s="639" t="s">
        <v>390</v>
      </c>
      <c r="C1627" s="631"/>
      <c r="D1627" s="631"/>
      <c r="E1627" s="631"/>
      <c r="F1627" s="633"/>
      <c r="G1627" s="631"/>
      <c r="H1627" s="631"/>
      <c r="I1627" s="631"/>
      <c r="J1627" s="631">
        <v>30000</v>
      </c>
      <c r="K1627" s="352"/>
      <c r="L1627" s="629" t="s">
        <v>840</v>
      </c>
      <c r="O1627" s="366"/>
    </row>
    <row r="1628" spans="1:16" ht="24.6" customHeight="1" x14ac:dyDescent="0.4">
      <c r="A1628" s="644"/>
      <c r="B1628" s="639" t="s">
        <v>390</v>
      </c>
      <c r="C1628" s="631"/>
      <c r="D1628" s="631"/>
      <c r="E1628" s="631"/>
      <c r="F1628" s="633"/>
      <c r="G1628" s="631"/>
      <c r="H1628" s="631"/>
      <c r="I1628" s="631">
        <v>15000</v>
      </c>
      <c r="J1628" s="631"/>
      <c r="K1628" s="352"/>
      <c r="L1628" s="629" t="s">
        <v>841</v>
      </c>
      <c r="O1628" s="366"/>
    </row>
    <row r="1629" spans="1:16" ht="24.6" customHeight="1" x14ac:dyDescent="0.4">
      <c r="A1629" s="642">
        <v>45932</v>
      </c>
      <c r="B1629" s="639" t="s">
        <v>390</v>
      </c>
      <c r="C1629" s="631"/>
      <c r="D1629" s="631"/>
      <c r="E1629" s="631"/>
      <c r="F1629" s="633"/>
      <c r="G1629" s="631"/>
      <c r="H1629" s="631"/>
      <c r="I1629" s="631"/>
      <c r="J1629" s="631">
        <v>30000</v>
      </c>
      <c r="K1629" s="352"/>
      <c r="L1629" s="629" t="s">
        <v>840</v>
      </c>
      <c r="O1629" s="366"/>
    </row>
    <row r="1630" spans="1:16" ht="24.6" customHeight="1" x14ac:dyDescent="0.4">
      <c r="A1630" s="644"/>
      <c r="B1630" s="639" t="s">
        <v>390</v>
      </c>
      <c r="C1630" s="631"/>
      <c r="D1630" s="631"/>
      <c r="E1630" s="631"/>
      <c r="F1630" s="633"/>
      <c r="G1630" s="631"/>
      <c r="H1630" s="631"/>
      <c r="I1630" s="631">
        <v>15000</v>
      </c>
      <c r="J1630" s="631"/>
      <c r="K1630" s="352"/>
      <c r="L1630" s="629" t="s">
        <v>841</v>
      </c>
      <c r="O1630" s="366"/>
    </row>
    <row r="1631" spans="1:16" ht="24.6" customHeight="1" x14ac:dyDescent="0.4">
      <c r="A1631" s="642">
        <v>45933</v>
      </c>
      <c r="B1631" s="639" t="s">
        <v>390</v>
      </c>
      <c r="C1631" s="631"/>
      <c r="D1631" s="631"/>
      <c r="E1631" s="631"/>
      <c r="F1631" s="633"/>
      <c r="G1631" s="631"/>
      <c r="H1631" s="631"/>
      <c r="I1631" s="631"/>
      <c r="J1631" s="631">
        <v>30000</v>
      </c>
      <c r="K1631" s="352"/>
      <c r="L1631" s="629" t="s">
        <v>840</v>
      </c>
      <c r="O1631" s="366"/>
    </row>
    <row r="1632" spans="1:16" ht="24.6" customHeight="1" x14ac:dyDescent="0.4">
      <c r="A1632" s="644"/>
      <c r="B1632" s="639" t="s">
        <v>390</v>
      </c>
      <c r="C1632" s="631"/>
      <c r="D1632" s="631"/>
      <c r="E1632" s="631"/>
      <c r="F1632" s="633"/>
      <c r="G1632" s="631"/>
      <c r="H1632" s="631"/>
      <c r="I1632" s="631">
        <v>20000</v>
      </c>
      <c r="J1632" s="631"/>
      <c r="K1632" s="352"/>
      <c r="L1632" s="629" t="s">
        <v>841</v>
      </c>
      <c r="O1632" s="366"/>
    </row>
    <row r="1633" spans="1:15" ht="24.6" customHeight="1" x14ac:dyDescent="0.4">
      <c r="A1633" s="642">
        <v>45934</v>
      </c>
      <c r="B1633" s="639" t="s">
        <v>390</v>
      </c>
      <c r="C1633" s="631"/>
      <c r="D1633" s="631"/>
      <c r="E1633" s="631"/>
      <c r="F1633" s="633"/>
      <c r="G1633" s="631"/>
      <c r="H1633" s="631"/>
      <c r="I1633" s="631"/>
      <c r="J1633" s="631">
        <v>30000</v>
      </c>
      <c r="K1633" s="352"/>
      <c r="L1633" s="629" t="s">
        <v>840</v>
      </c>
      <c r="O1633" s="366"/>
    </row>
    <row r="1634" spans="1:15" ht="24.6" customHeight="1" x14ac:dyDescent="0.4">
      <c r="A1634" s="644"/>
      <c r="B1634" s="639" t="s">
        <v>390</v>
      </c>
      <c r="C1634" s="631"/>
      <c r="D1634" s="631"/>
      <c r="E1634" s="631"/>
      <c r="F1634" s="633"/>
      <c r="G1634" s="631"/>
      <c r="H1634" s="631"/>
      <c r="I1634" s="631">
        <v>15000</v>
      </c>
      <c r="J1634" s="631"/>
      <c r="K1634" s="352"/>
      <c r="L1634" s="629" t="s">
        <v>841</v>
      </c>
      <c r="O1634" s="366"/>
    </row>
    <row r="1635" spans="1:15" ht="24.6" customHeight="1" x14ac:dyDescent="0.4">
      <c r="A1635" s="642">
        <v>45935</v>
      </c>
      <c r="B1635" s="639" t="s">
        <v>390</v>
      </c>
      <c r="C1635" s="631"/>
      <c r="D1635" s="631"/>
      <c r="E1635" s="631"/>
      <c r="F1635" s="633">
        <f>O1635*N1635/9</f>
        <v>16000</v>
      </c>
      <c r="G1635" s="631"/>
      <c r="H1635" s="631"/>
      <c r="I1635" s="631"/>
      <c r="J1635" s="631"/>
      <c r="K1635" s="476"/>
      <c r="L1635" s="629">
        <f>N1635</f>
        <v>94.076450181946456</v>
      </c>
      <c r="N1635" s="1">
        <v>94.076450181946456</v>
      </c>
      <c r="O1635" s="366">
        <f>O1621</f>
        <v>1530.67</v>
      </c>
    </row>
    <row r="1636" spans="1:15" ht="24.6" customHeight="1" x14ac:dyDescent="0.4">
      <c r="A1636" s="643"/>
      <c r="B1636" s="639" t="s">
        <v>390</v>
      </c>
      <c r="C1636" s="631"/>
      <c r="D1636" s="631"/>
      <c r="E1636" s="631">
        <v>0</v>
      </c>
      <c r="F1636" s="633"/>
      <c r="G1636" s="631"/>
      <c r="H1636" s="631"/>
      <c r="I1636" s="631"/>
      <c r="J1636" s="631"/>
      <c r="K1636" s="476" t="s">
        <v>839</v>
      </c>
      <c r="L1636" s="629" t="s">
        <v>842</v>
      </c>
      <c r="O1636" s="366"/>
    </row>
    <row r="1637" spans="1:15" ht="24.6" customHeight="1" x14ac:dyDescent="0.4">
      <c r="A1637" s="643"/>
      <c r="B1637" s="639" t="s">
        <v>390</v>
      </c>
      <c r="C1637" s="631"/>
      <c r="D1637" s="631"/>
      <c r="E1637" s="631"/>
      <c r="F1637" s="633"/>
      <c r="G1637" s="631"/>
      <c r="H1637" s="631"/>
      <c r="I1637" s="631"/>
      <c r="J1637" s="631">
        <v>15000</v>
      </c>
      <c r="K1637" s="352"/>
      <c r="L1637" s="629" t="s">
        <v>840</v>
      </c>
      <c r="O1637" s="366"/>
    </row>
    <row r="1638" spans="1:15" ht="24.6" customHeight="1" x14ac:dyDescent="0.4">
      <c r="A1638" s="644"/>
      <c r="B1638" s="639" t="s">
        <v>390</v>
      </c>
      <c r="C1638" s="631"/>
      <c r="D1638" s="631"/>
      <c r="E1638" s="631"/>
      <c r="F1638" s="633"/>
      <c r="G1638" s="631"/>
      <c r="H1638" s="631"/>
      <c r="I1638" s="631">
        <v>10000</v>
      </c>
      <c r="J1638" s="631"/>
      <c r="K1638" s="352"/>
      <c r="L1638" s="629" t="s">
        <v>841</v>
      </c>
      <c r="O1638" s="366"/>
    </row>
    <row r="1639" spans="1:15" ht="24.6" customHeight="1" x14ac:dyDescent="0.4">
      <c r="A1639" s="642">
        <v>45938</v>
      </c>
      <c r="B1639" s="639" t="s">
        <v>390</v>
      </c>
      <c r="C1639" s="631"/>
      <c r="D1639" s="631"/>
      <c r="E1639" s="631"/>
      <c r="F1639" s="633">
        <f>O1639*N1639/9</f>
        <v>16000</v>
      </c>
      <c r="G1639" s="631"/>
      <c r="H1639" s="631"/>
      <c r="I1639" s="631"/>
      <c r="J1639" s="631"/>
      <c r="K1639" s="476"/>
      <c r="L1639" s="629">
        <f>N1639</f>
        <v>94.076450181946456</v>
      </c>
      <c r="N1639" s="1">
        <v>94.076450181946456</v>
      </c>
      <c r="O1639" s="366">
        <f>O1635</f>
        <v>1530.67</v>
      </c>
    </row>
    <row r="1640" spans="1:15" ht="24.6" customHeight="1" x14ac:dyDescent="0.4">
      <c r="A1640" s="643"/>
      <c r="B1640" s="639" t="s">
        <v>390</v>
      </c>
      <c r="C1640" s="631"/>
      <c r="D1640" s="631"/>
      <c r="E1640" s="631">
        <v>9500</v>
      </c>
      <c r="F1640" s="633"/>
      <c r="G1640" s="631"/>
      <c r="H1640" s="631"/>
      <c r="I1640" s="631"/>
      <c r="J1640" s="631"/>
      <c r="K1640" s="476" t="s">
        <v>839</v>
      </c>
      <c r="L1640" s="629" t="s">
        <v>843</v>
      </c>
      <c r="O1640" s="366"/>
    </row>
    <row r="1641" spans="1:15" ht="24.6" customHeight="1" x14ac:dyDescent="0.4">
      <c r="A1641" s="643"/>
      <c r="B1641" s="639" t="s">
        <v>390</v>
      </c>
      <c r="C1641" s="631"/>
      <c r="D1641" s="631"/>
      <c r="E1641" s="631"/>
      <c r="F1641" s="633"/>
      <c r="G1641" s="631"/>
      <c r="H1641" s="631"/>
      <c r="I1641" s="631"/>
      <c r="J1641" s="631">
        <v>30000</v>
      </c>
      <c r="K1641" s="352"/>
      <c r="L1641" s="629" t="s">
        <v>840</v>
      </c>
      <c r="O1641" s="366"/>
    </row>
    <row r="1642" spans="1:15" ht="24.6" customHeight="1" x14ac:dyDescent="0.4">
      <c r="A1642" s="644"/>
      <c r="B1642" s="639" t="s">
        <v>390</v>
      </c>
      <c r="C1642" s="631"/>
      <c r="D1642" s="631"/>
      <c r="E1642" s="631"/>
      <c r="F1642" s="633"/>
      <c r="G1642" s="631"/>
      <c r="H1642" s="631"/>
      <c r="I1642" s="631">
        <v>20000</v>
      </c>
      <c r="J1642" s="631"/>
      <c r="K1642" s="352"/>
      <c r="L1642" s="629" t="s">
        <v>841</v>
      </c>
      <c r="O1642" s="366"/>
    </row>
    <row r="1643" spans="1:15" ht="24.6" customHeight="1" x14ac:dyDescent="0.4">
      <c r="A1643" s="642">
        <v>45939</v>
      </c>
      <c r="B1643" s="639" t="s">
        <v>390</v>
      </c>
      <c r="C1643" s="631"/>
      <c r="D1643" s="631"/>
      <c r="E1643" s="631"/>
      <c r="F1643" s="633"/>
      <c r="G1643" s="631"/>
      <c r="H1643" s="631"/>
      <c r="I1643" s="631"/>
      <c r="J1643" s="631">
        <v>30000</v>
      </c>
      <c r="K1643" s="352"/>
      <c r="L1643" s="629" t="s">
        <v>840</v>
      </c>
      <c r="O1643" s="366"/>
    </row>
    <row r="1644" spans="1:15" ht="24.6" customHeight="1" x14ac:dyDescent="0.4">
      <c r="A1644" s="644"/>
      <c r="B1644" s="639" t="s">
        <v>390</v>
      </c>
      <c r="C1644" s="631"/>
      <c r="D1644" s="631"/>
      <c r="E1644" s="631"/>
      <c r="F1644" s="633"/>
      <c r="G1644" s="631"/>
      <c r="H1644" s="631"/>
      <c r="I1644" s="631">
        <v>15000</v>
      </c>
      <c r="J1644" s="631"/>
      <c r="K1644" s="352"/>
      <c r="L1644" s="629" t="s">
        <v>841</v>
      </c>
      <c r="O1644" s="366"/>
    </row>
    <row r="1645" spans="1:15" ht="24.6" customHeight="1" x14ac:dyDescent="0.4">
      <c r="A1645" s="642">
        <v>45940</v>
      </c>
      <c r="B1645" s="639" t="s">
        <v>390</v>
      </c>
      <c r="C1645" s="631"/>
      <c r="D1645" s="631"/>
      <c r="E1645" s="631"/>
      <c r="F1645" s="633"/>
      <c r="G1645" s="631"/>
      <c r="H1645" s="631"/>
      <c r="I1645" s="631"/>
      <c r="J1645" s="631">
        <v>30000</v>
      </c>
      <c r="K1645" s="352"/>
      <c r="L1645" s="629" t="s">
        <v>840</v>
      </c>
      <c r="O1645" s="366"/>
    </row>
    <row r="1646" spans="1:15" ht="24.6" customHeight="1" x14ac:dyDescent="0.4">
      <c r="A1646" s="644"/>
      <c r="B1646" s="639" t="s">
        <v>390</v>
      </c>
      <c r="C1646" s="631"/>
      <c r="D1646" s="631"/>
      <c r="E1646" s="631"/>
      <c r="F1646" s="633"/>
      <c r="G1646" s="631"/>
      <c r="H1646" s="631"/>
      <c r="I1646" s="631">
        <v>20000</v>
      </c>
      <c r="J1646" s="631"/>
      <c r="K1646" s="352"/>
      <c r="L1646" s="629" t="s">
        <v>841</v>
      </c>
      <c r="O1646" s="366"/>
    </row>
    <row r="1647" spans="1:15" ht="24.6" customHeight="1" x14ac:dyDescent="0.4">
      <c r="A1647" s="642">
        <v>45941</v>
      </c>
      <c r="B1647" s="639" t="s">
        <v>390</v>
      </c>
      <c r="C1647" s="631"/>
      <c r="D1647" s="631"/>
      <c r="E1647" s="631"/>
      <c r="F1647" s="633"/>
      <c r="G1647" s="631"/>
      <c r="H1647" s="631"/>
      <c r="I1647" s="631"/>
      <c r="J1647" s="631">
        <v>30000</v>
      </c>
      <c r="K1647" s="352"/>
      <c r="L1647" s="629" t="s">
        <v>840</v>
      </c>
      <c r="O1647" s="366"/>
    </row>
    <row r="1648" spans="1:15" ht="24.6" customHeight="1" x14ac:dyDescent="0.4">
      <c r="A1648" s="644"/>
      <c r="B1648" s="639" t="s">
        <v>390</v>
      </c>
      <c r="C1648" s="631"/>
      <c r="D1648" s="631"/>
      <c r="E1648" s="631"/>
      <c r="F1648" s="633"/>
      <c r="G1648" s="631"/>
      <c r="H1648" s="631"/>
      <c r="I1648" s="631">
        <v>20000</v>
      </c>
      <c r="J1648" s="631"/>
      <c r="K1648" s="352"/>
      <c r="L1648" s="629" t="s">
        <v>841</v>
      </c>
      <c r="O1648" s="366"/>
    </row>
    <row r="1649" spans="1:15" ht="24.6" customHeight="1" x14ac:dyDescent="0.4">
      <c r="A1649" s="642">
        <v>45942</v>
      </c>
      <c r="B1649" s="639" t="s">
        <v>390</v>
      </c>
      <c r="C1649" s="631"/>
      <c r="D1649" s="631"/>
      <c r="E1649" s="631"/>
      <c r="F1649" s="633">
        <f>O1649*N1649/9</f>
        <v>0</v>
      </c>
      <c r="G1649" s="631"/>
      <c r="H1649" s="631"/>
      <c r="I1649" s="631"/>
      <c r="J1649" s="631"/>
      <c r="K1649" s="476"/>
      <c r="L1649" s="629">
        <f>N1649</f>
        <v>0</v>
      </c>
      <c r="N1649" s="1">
        <v>0</v>
      </c>
      <c r="O1649" s="366">
        <f>O1639</f>
        <v>1530.67</v>
      </c>
    </row>
    <row r="1650" spans="1:15" ht="24.6" customHeight="1" x14ac:dyDescent="0.4">
      <c r="A1650" s="643"/>
      <c r="B1650" s="639" t="s">
        <v>390</v>
      </c>
      <c r="C1650" s="631"/>
      <c r="D1650" s="631"/>
      <c r="E1650" s="631"/>
      <c r="F1650" s="633"/>
      <c r="G1650" s="631"/>
      <c r="H1650" s="631"/>
      <c r="I1650" s="631"/>
      <c r="J1650" s="631">
        <v>30000</v>
      </c>
      <c r="K1650" s="352"/>
      <c r="L1650" s="629" t="s">
        <v>840</v>
      </c>
      <c r="O1650" s="366"/>
    </row>
    <row r="1651" spans="1:15" ht="24.6" customHeight="1" x14ac:dyDescent="0.4">
      <c r="A1651" s="644"/>
      <c r="B1651" s="639" t="s">
        <v>390</v>
      </c>
      <c r="C1651" s="631"/>
      <c r="D1651" s="631"/>
      <c r="E1651" s="631"/>
      <c r="F1651" s="633"/>
      <c r="G1651" s="631"/>
      <c r="H1651" s="631"/>
      <c r="I1651" s="631">
        <v>20000</v>
      </c>
      <c r="J1651" s="631"/>
      <c r="K1651" s="352"/>
      <c r="L1651" s="629" t="s">
        <v>841</v>
      </c>
      <c r="O1651" s="366"/>
    </row>
    <row r="1652" spans="1:15" ht="24.6" customHeight="1" x14ac:dyDescent="0.4">
      <c r="A1652" s="642">
        <v>45943</v>
      </c>
      <c r="B1652" s="639" t="s">
        <v>390</v>
      </c>
      <c r="C1652" s="631"/>
      <c r="D1652" s="631"/>
      <c r="E1652" s="631"/>
      <c r="F1652" s="633">
        <f>O1652*N1652/9</f>
        <v>0</v>
      </c>
      <c r="G1652" s="631"/>
      <c r="H1652" s="631"/>
      <c r="I1652" s="631"/>
      <c r="J1652" s="631"/>
      <c r="K1652" s="476"/>
      <c r="L1652" s="629">
        <f>N1652</f>
        <v>0</v>
      </c>
      <c r="N1652" s="1">
        <v>0</v>
      </c>
      <c r="O1652" s="366">
        <f>O1649</f>
        <v>1530.67</v>
      </c>
    </row>
    <row r="1653" spans="1:15" ht="24.6" customHeight="1" x14ac:dyDescent="0.4">
      <c r="A1653" s="643"/>
      <c r="B1653" s="639" t="s">
        <v>390</v>
      </c>
      <c r="C1653" s="631"/>
      <c r="D1653" s="631"/>
      <c r="E1653" s="631"/>
      <c r="F1653" s="633"/>
      <c r="G1653" s="631"/>
      <c r="H1653" s="631"/>
      <c r="I1653" s="631"/>
      <c r="J1653" s="631">
        <v>30000</v>
      </c>
      <c r="K1653" s="352"/>
      <c r="L1653" s="629" t="s">
        <v>840</v>
      </c>
      <c r="O1653" s="366"/>
    </row>
    <row r="1654" spans="1:15" ht="24.6" customHeight="1" x14ac:dyDescent="0.4">
      <c r="A1654" s="644"/>
      <c r="B1654" s="639" t="s">
        <v>390</v>
      </c>
      <c r="C1654" s="631"/>
      <c r="D1654" s="631"/>
      <c r="E1654" s="631"/>
      <c r="F1654" s="633"/>
      <c r="G1654" s="631"/>
      <c r="H1654" s="631"/>
      <c r="I1654" s="631">
        <v>15000</v>
      </c>
      <c r="J1654" s="631"/>
      <c r="K1654" s="352"/>
      <c r="L1654" s="629" t="s">
        <v>841</v>
      </c>
      <c r="O1654" s="366"/>
    </row>
    <row r="1655" spans="1:15" ht="24.6" customHeight="1" x14ac:dyDescent="0.4">
      <c r="A1655" s="642">
        <v>45944</v>
      </c>
      <c r="B1655" s="639" t="s">
        <v>390</v>
      </c>
      <c r="C1655" s="631"/>
      <c r="D1655" s="631"/>
      <c r="E1655" s="631"/>
      <c r="F1655" s="633">
        <f>O1655*N1655/9</f>
        <v>0</v>
      </c>
      <c r="G1655" s="631"/>
      <c r="H1655" s="631"/>
      <c r="I1655" s="631"/>
      <c r="J1655" s="631"/>
      <c r="K1655" s="476"/>
      <c r="L1655" s="629">
        <f>N1655</f>
        <v>0</v>
      </c>
      <c r="N1655" s="1">
        <v>0</v>
      </c>
      <c r="O1655" s="366">
        <f>O1649</f>
        <v>1530.67</v>
      </c>
    </row>
    <row r="1656" spans="1:15" ht="24.6" customHeight="1" x14ac:dyDescent="0.4">
      <c r="A1656" s="643"/>
      <c r="B1656" s="639" t="s">
        <v>390</v>
      </c>
      <c r="C1656" s="631"/>
      <c r="D1656" s="631"/>
      <c r="E1656" s="631"/>
      <c r="F1656" s="633"/>
      <c r="G1656" s="631"/>
      <c r="H1656" s="631"/>
      <c r="I1656" s="631"/>
      <c r="J1656" s="631">
        <v>30000</v>
      </c>
      <c r="K1656" s="352"/>
      <c r="L1656" s="629" t="s">
        <v>840</v>
      </c>
      <c r="O1656" s="366"/>
    </row>
    <row r="1657" spans="1:15" ht="24.6" customHeight="1" x14ac:dyDescent="0.4">
      <c r="A1657" s="644"/>
      <c r="B1657" s="639" t="s">
        <v>390</v>
      </c>
      <c r="C1657" s="631"/>
      <c r="D1657" s="631"/>
      <c r="E1657" s="631"/>
      <c r="F1657" s="633"/>
      <c r="G1657" s="631"/>
      <c r="H1657" s="631"/>
      <c r="I1657" s="631">
        <v>15000</v>
      </c>
      <c r="J1657" s="631"/>
      <c r="K1657" s="352"/>
      <c r="L1657" s="629" t="s">
        <v>841</v>
      </c>
      <c r="O1657" s="366"/>
    </row>
    <row r="1658" spans="1:15" ht="24.6" customHeight="1" x14ac:dyDescent="0.4">
      <c r="A1658" s="642">
        <v>45945</v>
      </c>
      <c r="B1658" s="639" t="s">
        <v>390</v>
      </c>
      <c r="C1658" s="631"/>
      <c r="D1658" s="631"/>
      <c r="E1658" s="631"/>
      <c r="F1658" s="633">
        <f>O1658*N1658/9</f>
        <v>0</v>
      </c>
      <c r="G1658" s="631"/>
      <c r="H1658" s="631"/>
      <c r="I1658" s="631"/>
      <c r="J1658" s="631"/>
      <c r="K1658" s="476"/>
      <c r="L1658" s="629">
        <f>N1658</f>
        <v>0</v>
      </c>
      <c r="N1658" s="1">
        <v>0</v>
      </c>
      <c r="O1658" s="366">
        <f>O1655</f>
        <v>1530.67</v>
      </c>
    </row>
    <row r="1659" spans="1:15" ht="24.6" customHeight="1" x14ac:dyDescent="0.4">
      <c r="A1659" s="643"/>
      <c r="B1659" s="639" t="s">
        <v>390</v>
      </c>
      <c r="C1659" s="631"/>
      <c r="D1659" s="631"/>
      <c r="E1659" s="631"/>
      <c r="F1659" s="633"/>
      <c r="G1659" s="631"/>
      <c r="H1659" s="631"/>
      <c r="I1659" s="631"/>
      <c r="J1659" s="631">
        <v>30000</v>
      </c>
      <c r="K1659" s="352"/>
      <c r="L1659" s="629" t="s">
        <v>840</v>
      </c>
      <c r="O1659" s="366"/>
    </row>
    <row r="1660" spans="1:15" ht="24.6" customHeight="1" x14ac:dyDescent="0.4">
      <c r="A1660" s="644"/>
      <c r="B1660" s="639" t="s">
        <v>390</v>
      </c>
      <c r="C1660" s="631"/>
      <c r="D1660" s="631"/>
      <c r="E1660" s="631"/>
      <c r="F1660" s="633"/>
      <c r="G1660" s="631"/>
      <c r="H1660" s="631"/>
      <c r="I1660" s="631">
        <v>15000</v>
      </c>
      <c r="J1660" s="631"/>
      <c r="K1660" s="352"/>
      <c r="L1660" s="629" t="s">
        <v>841</v>
      </c>
      <c r="O1660" s="366"/>
    </row>
    <row r="1661" spans="1:15" ht="24.6" customHeight="1" x14ac:dyDescent="0.4">
      <c r="A1661" s="642">
        <v>45946</v>
      </c>
      <c r="B1661" s="639" t="s">
        <v>390</v>
      </c>
      <c r="C1661" s="631"/>
      <c r="D1661" s="631"/>
      <c r="E1661" s="631"/>
      <c r="F1661" s="633">
        <f>O1661*N1661/9</f>
        <v>0</v>
      </c>
      <c r="G1661" s="631"/>
      <c r="H1661" s="631"/>
      <c r="I1661" s="631"/>
      <c r="J1661" s="631"/>
      <c r="K1661" s="476"/>
      <c r="L1661" s="629">
        <f>N1661</f>
        <v>0</v>
      </c>
      <c r="N1661" s="1">
        <v>0</v>
      </c>
      <c r="O1661" s="366">
        <f>O1658</f>
        <v>1530.67</v>
      </c>
    </row>
    <row r="1662" spans="1:15" ht="24.6" customHeight="1" x14ac:dyDescent="0.4">
      <c r="A1662" s="643"/>
      <c r="B1662" s="639" t="s">
        <v>390</v>
      </c>
      <c r="C1662" s="631"/>
      <c r="D1662" s="631"/>
      <c r="E1662" s="631"/>
      <c r="F1662" s="633"/>
      <c r="G1662" s="631"/>
      <c r="H1662" s="631"/>
      <c r="I1662" s="631"/>
      <c r="J1662" s="631">
        <v>30000</v>
      </c>
      <c r="K1662" s="352"/>
      <c r="L1662" s="629" t="s">
        <v>840</v>
      </c>
      <c r="O1662" s="366"/>
    </row>
    <row r="1663" spans="1:15" ht="24.6" customHeight="1" x14ac:dyDescent="0.4">
      <c r="A1663" s="644"/>
      <c r="B1663" s="639" t="s">
        <v>390</v>
      </c>
      <c r="C1663" s="631"/>
      <c r="D1663" s="631"/>
      <c r="E1663" s="631"/>
      <c r="F1663" s="633"/>
      <c r="G1663" s="631"/>
      <c r="H1663" s="631"/>
      <c r="I1663" s="631">
        <v>15000</v>
      </c>
      <c r="J1663" s="631"/>
      <c r="K1663" s="352"/>
      <c r="L1663" s="629" t="s">
        <v>841</v>
      </c>
      <c r="O1663" s="366"/>
    </row>
    <row r="1664" spans="1:15" ht="24.6" customHeight="1" x14ac:dyDescent="0.4">
      <c r="A1664" s="642">
        <v>45947</v>
      </c>
      <c r="B1664" s="639" t="s">
        <v>390</v>
      </c>
      <c r="C1664" s="631"/>
      <c r="D1664" s="631"/>
      <c r="E1664" s="631"/>
      <c r="F1664" s="633">
        <f>O1664*N1664/9</f>
        <v>0</v>
      </c>
      <c r="G1664" s="631"/>
      <c r="H1664" s="631"/>
      <c r="I1664" s="631"/>
      <c r="J1664" s="631"/>
      <c r="K1664" s="476"/>
      <c r="L1664" s="629">
        <f>N1664</f>
        <v>0</v>
      </c>
      <c r="N1664" s="1">
        <v>0</v>
      </c>
      <c r="O1664" s="366">
        <f>O1661</f>
        <v>1530.67</v>
      </c>
    </row>
    <row r="1665" spans="1:15" ht="24.6" customHeight="1" x14ac:dyDescent="0.4">
      <c r="A1665" s="643"/>
      <c r="B1665" s="639" t="s">
        <v>390</v>
      </c>
      <c r="C1665" s="631"/>
      <c r="D1665" s="631"/>
      <c r="E1665" s="631"/>
      <c r="F1665" s="633"/>
      <c r="G1665" s="631"/>
      <c r="H1665" s="631"/>
      <c r="I1665" s="631"/>
      <c r="J1665" s="631">
        <v>30000</v>
      </c>
      <c r="K1665" s="352"/>
      <c r="L1665" s="629" t="s">
        <v>840</v>
      </c>
      <c r="O1665" s="366"/>
    </row>
    <row r="1666" spans="1:15" ht="24.6" customHeight="1" x14ac:dyDescent="0.4">
      <c r="A1666" s="644"/>
      <c r="B1666" s="639" t="s">
        <v>390</v>
      </c>
      <c r="C1666" s="631"/>
      <c r="D1666" s="631"/>
      <c r="E1666" s="631"/>
      <c r="F1666" s="633"/>
      <c r="G1666" s="631"/>
      <c r="H1666" s="631"/>
      <c r="I1666" s="631">
        <v>15000</v>
      </c>
      <c r="J1666" s="631"/>
      <c r="K1666" s="352"/>
      <c r="L1666" s="629" t="s">
        <v>841</v>
      </c>
      <c r="O1666" s="366"/>
    </row>
    <row r="1667" spans="1:15" ht="24.6" customHeight="1" x14ac:dyDescent="0.4">
      <c r="A1667" s="642">
        <v>45948</v>
      </c>
      <c r="B1667" s="639" t="s">
        <v>390</v>
      </c>
      <c r="C1667" s="631"/>
      <c r="D1667" s="631"/>
      <c r="E1667" s="631"/>
      <c r="F1667" s="633">
        <f>O1667*N1667/9</f>
        <v>16000</v>
      </c>
      <c r="G1667" s="631"/>
      <c r="H1667" s="631"/>
      <c r="I1667" s="631"/>
      <c r="J1667" s="631"/>
      <c r="K1667" s="476"/>
      <c r="L1667" s="629">
        <f>N1667</f>
        <v>94.076450181946456</v>
      </c>
      <c r="N1667" s="1">
        <v>94.076450181946456</v>
      </c>
      <c r="O1667" s="366">
        <f>O1664</f>
        <v>1530.67</v>
      </c>
    </row>
    <row r="1668" spans="1:15" ht="24.6" customHeight="1" x14ac:dyDescent="0.4">
      <c r="A1668" s="643"/>
      <c r="B1668" s="639" t="s">
        <v>390</v>
      </c>
      <c r="C1668" s="631"/>
      <c r="D1668" s="631"/>
      <c r="E1668" s="631">
        <v>11500</v>
      </c>
      <c r="F1668" s="633"/>
      <c r="G1668" s="631"/>
      <c r="H1668" s="631"/>
      <c r="I1668" s="631"/>
      <c r="J1668" s="631"/>
      <c r="K1668" s="476" t="s">
        <v>844</v>
      </c>
      <c r="L1668" s="629" t="s">
        <v>843</v>
      </c>
      <c r="O1668" s="366"/>
    </row>
    <row r="1669" spans="1:15" ht="24.6" customHeight="1" x14ac:dyDescent="0.4">
      <c r="A1669" s="643"/>
      <c r="B1669" s="639" t="s">
        <v>390</v>
      </c>
      <c r="C1669" s="631"/>
      <c r="D1669" s="631"/>
      <c r="E1669" s="631"/>
      <c r="F1669" s="633"/>
      <c r="G1669" s="631"/>
      <c r="H1669" s="631"/>
      <c r="I1669" s="631"/>
      <c r="J1669" s="631">
        <v>15000</v>
      </c>
      <c r="K1669" s="352"/>
      <c r="L1669" s="629" t="s">
        <v>840</v>
      </c>
      <c r="O1669" s="366"/>
    </row>
    <row r="1670" spans="1:15" ht="24.6" customHeight="1" x14ac:dyDescent="0.4">
      <c r="A1670" s="644"/>
      <c r="B1670" s="639" t="s">
        <v>390</v>
      </c>
      <c r="C1670" s="631"/>
      <c r="D1670" s="631"/>
      <c r="E1670" s="631"/>
      <c r="F1670" s="633"/>
      <c r="G1670" s="631"/>
      <c r="H1670" s="631"/>
      <c r="I1670" s="631">
        <v>7500</v>
      </c>
      <c r="J1670" s="631"/>
      <c r="K1670" s="352"/>
      <c r="L1670" s="629" t="s">
        <v>841</v>
      </c>
      <c r="O1670" s="366"/>
    </row>
    <row r="1671" spans="1:15" ht="24.6" customHeight="1" x14ac:dyDescent="0.4">
      <c r="A1671" s="642">
        <v>45950</v>
      </c>
      <c r="B1671" s="639" t="s">
        <v>390</v>
      </c>
      <c r="C1671" s="631"/>
      <c r="D1671" s="631"/>
      <c r="E1671" s="631"/>
      <c r="F1671" s="633">
        <f>O1671*N1671/9</f>
        <v>16000</v>
      </c>
      <c r="G1671" s="631"/>
      <c r="H1671" s="631"/>
      <c r="I1671" s="631"/>
      <c r="J1671" s="631"/>
      <c r="K1671" s="476"/>
      <c r="L1671" s="629">
        <f>N1671</f>
        <v>94.076450181946456</v>
      </c>
      <c r="N1671" s="1">
        <v>94.076450181946456</v>
      </c>
      <c r="O1671" s="366">
        <f>O1667</f>
        <v>1530.67</v>
      </c>
    </row>
    <row r="1672" spans="1:15" ht="24.6" customHeight="1" x14ac:dyDescent="0.4">
      <c r="A1672" s="643"/>
      <c r="B1672" s="639" t="s">
        <v>390</v>
      </c>
      <c r="C1672" s="631"/>
      <c r="D1672" s="631"/>
      <c r="E1672" s="631">
        <v>10750</v>
      </c>
      <c r="F1672" s="633"/>
      <c r="G1672" s="631"/>
      <c r="H1672" s="631"/>
      <c r="I1672" s="631"/>
      <c r="J1672" s="631"/>
      <c r="K1672" s="476" t="s">
        <v>844</v>
      </c>
      <c r="L1672" s="629" t="s">
        <v>843</v>
      </c>
      <c r="O1672" s="366"/>
    </row>
    <row r="1673" spans="1:15" ht="24.6" customHeight="1" x14ac:dyDescent="0.4">
      <c r="A1673" s="643"/>
      <c r="B1673" s="639" t="s">
        <v>390</v>
      </c>
      <c r="C1673" s="631"/>
      <c r="D1673" s="631"/>
      <c r="E1673" s="631"/>
      <c r="F1673" s="633"/>
      <c r="G1673" s="631"/>
      <c r="H1673" s="631"/>
      <c r="I1673" s="631"/>
      <c r="J1673" s="631">
        <v>30000</v>
      </c>
      <c r="K1673" s="476"/>
      <c r="L1673" s="629" t="s">
        <v>840</v>
      </c>
      <c r="O1673" s="366"/>
    </row>
    <row r="1674" spans="1:15" ht="24.6" customHeight="1" x14ac:dyDescent="0.4">
      <c r="A1674" s="644"/>
      <c r="B1674" s="639" t="s">
        <v>390</v>
      </c>
      <c r="C1674" s="631"/>
      <c r="D1674" s="631"/>
      <c r="E1674" s="631"/>
      <c r="F1674" s="633"/>
      <c r="G1674" s="631"/>
      <c r="H1674" s="631"/>
      <c r="I1674" s="631">
        <v>15000</v>
      </c>
      <c r="J1674" s="631"/>
      <c r="K1674" s="352"/>
      <c r="L1674" s="629" t="s">
        <v>841</v>
      </c>
      <c r="O1674" s="366"/>
    </row>
    <row r="1675" spans="1:15" ht="24.6" customHeight="1" x14ac:dyDescent="0.4">
      <c r="A1675" s="642">
        <v>45951</v>
      </c>
      <c r="B1675" s="639" t="s">
        <v>390</v>
      </c>
      <c r="C1675" s="631"/>
      <c r="D1675" s="631"/>
      <c r="E1675" s="631"/>
      <c r="F1675" s="633">
        <f>O1675*N1675/9</f>
        <v>0</v>
      </c>
      <c r="G1675" s="631"/>
      <c r="H1675" s="631"/>
      <c r="I1675" s="631"/>
      <c r="J1675" s="631"/>
      <c r="K1675" s="476"/>
      <c r="L1675" s="629">
        <f>N1675</f>
        <v>0</v>
      </c>
      <c r="N1675" s="1">
        <v>0</v>
      </c>
      <c r="O1675" s="366">
        <f>O1671</f>
        <v>1530.67</v>
      </c>
    </row>
    <row r="1676" spans="1:15" ht="24.6" customHeight="1" x14ac:dyDescent="0.4">
      <c r="A1676" s="643"/>
      <c r="B1676" s="639" t="s">
        <v>390</v>
      </c>
      <c r="C1676" s="631"/>
      <c r="D1676" s="631"/>
      <c r="E1676" s="631"/>
      <c r="F1676" s="633"/>
      <c r="G1676" s="631"/>
      <c r="H1676" s="631"/>
      <c r="I1676" s="631"/>
      <c r="J1676" s="631">
        <v>30000</v>
      </c>
      <c r="K1676" s="352"/>
      <c r="L1676" s="629" t="s">
        <v>840</v>
      </c>
      <c r="O1676" s="366"/>
    </row>
    <row r="1677" spans="1:15" ht="24.6" customHeight="1" x14ac:dyDescent="0.4">
      <c r="A1677" s="644"/>
      <c r="B1677" s="639" t="s">
        <v>390</v>
      </c>
      <c r="C1677" s="631"/>
      <c r="D1677" s="631"/>
      <c r="E1677" s="631"/>
      <c r="F1677" s="633"/>
      <c r="G1677" s="631"/>
      <c r="H1677" s="631"/>
      <c r="I1677" s="631">
        <v>15000</v>
      </c>
      <c r="J1677" s="631"/>
      <c r="K1677" s="352"/>
      <c r="L1677" s="629" t="s">
        <v>841</v>
      </c>
      <c r="O1677" s="366"/>
    </row>
    <row r="1678" spans="1:15" ht="24.6" customHeight="1" x14ac:dyDescent="0.4">
      <c r="A1678" s="642">
        <v>45952</v>
      </c>
      <c r="B1678" s="639" t="s">
        <v>390</v>
      </c>
      <c r="C1678" s="631"/>
      <c r="D1678" s="631"/>
      <c r="E1678" s="631"/>
      <c r="F1678" s="633">
        <f>O1678*N1678/9</f>
        <v>0</v>
      </c>
      <c r="G1678" s="631"/>
      <c r="H1678" s="631"/>
      <c r="I1678" s="631"/>
      <c r="J1678" s="631"/>
      <c r="K1678" s="476"/>
      <c r="L1678" s="629">
        <f>N1678</f>
        <v>0</v>
      </c>
      <c r="N1678" s="1">
        <v>0</v>
      </c>
      <c r="O1678" s="366">
        <f>O1675</f>
        <v>1530.67</v>
      </c>
    </row>
    <row r="1679" spans="1:15" ht="24.6" customHeight="1" x14ac:dyDescent="0.4">
      <c r="A1679" s="643"/>
      <c r="B1679" s="639" t="s">
        <v>390</v>
      </c>
      <c r="C1679" s="631"/>
      <c r="D1679" s="631"/>
      <c r="E1679" s="631"/>
      <c r="F1679" s="633"/>
      <c r="G1679" s="631"/>
      <c r="H1679" s="631"/>
      <c r="I1679" s="631"/>
      <c r="J1679" s="631">
        <v>30000</v>
      </c>
      <c r="K1679" s="352"/>
      <c r="L1679" s="629" t="s">
        <v>840</v>
      </c>
      <c r="O1679" s="366"/>
    </row>
    <row r="1680" spans="1:15" ht="24.6" customHeight="1" x14ac:dyDescent="0.4">
      <c r="A1680" s="644"/>
      <c r="B1680" s="639" t="s">
        <v>390</v>
      </c>
      <c r="C1680" s="631"/>
      <c r="D1680" s="631"/>
      <c r="E1680" s="631"/>
      <c r="F1680" s="633"/>
      <c r="G1680" s="631"/>
      <c r="H1680" s="631"/>
      <c r="I1680" s="631">
        <v>15000</v>
      </c>
      <c r="J1680" s="631"/>
      <c r="K1680" s="352"/>
      <c r="L1680" s="629" t="s">
        <v>841</v>
      </c>
      <c r="O1680" s="366"/>
    </row>
    <row r="1681" spans="1:15" ht="24.6" customHeight="1" x14ac:dyDescent="0.4">
      <c r="A1681" s="642">
        <v>45953</v>
      </c>
      <c r="B1681" s="639" t="s">
        <v>390</v>
      </c>
      <c r="C1681" s="631"/>
      <c r="D1681" s="631"/>
      <c r="E1681" s="631"/>
      <c r="F1681" s="633">
        <f>O1681*N1681/9</f>
        <v>0</v>
      </c>
      <c r="G1681" s="631"/>
      <c r="H1681" s="631"/>
      <c r="I1681" s="631"/>
      <c r="J1681" s="631"/>
      <c r="K1681" s="476"/>
      <c r="L1681" s="629">
        <f>N1681</f>
        <v>0</v>
      </c>
      <c r="N1681" s="1">
        <v>0</v>
      </c>
      <c r="O1681" s="366">
        <f>O1678</f>
        <v>1530.67</v>
      </c>
    </row>
    <row r="1682" spans="1:15" ht="24.6" customHeight="1" x14ac:dyDescent="0.4">
      <c r="A1682" s="643"/>
      <c r="B1682" s="639" t="s">
        <v>390</v>
      </c>
      <c r="C1682" s="631"/>
      <c r="D1682" s="631"/>
      <c r="E1682" s="631"/>
      <c r="F1682" s="633"/>
      <c r="G1682" s="631"/>
      <c r="H1682" s="631"/>
      <c r="I1682" s="631"/>
      <c r="J1682" s="631">
        <v>30000</v>
      </c>
      <c r="K1682" s="352"/>
      <c r="L1682" s="629" t="s">
        <v>840</v>
      </c>
      <c r="O1682" s="366"/>
    </row>
    <row r="1683" spans="1:15" ht="24.6" customHeight="1" x14ac:dyDescent="0.4">
      <c r="A1683" s="644"/>
      <c r="B1683" s="639" t="s">
        <v>390</v>
      </c>
      <c r="C1683" s="631"/>
      <c r="D1683" s="631"/>
      <c r="E1683" s="631"/>
      <c r="F1683" s="633"/>
      <c r="G1683" s="631"/>
      <c r="H1683" s="631"/>
      <c r="I1683" s="631">
        <v>15000</v>
      </c>
      <c r="J1683" s="631"/>
      <c r="K1683" s="352"/>
      <c r="L1683" s="629" t="s">
        <v>841</v>
      </c>
      <c r="O1683" s="366"/>
    </row>
    <row r="1684" spans="1:15" ht="24.6" customHeight="1" x14ac:dyDescent="0.4">
      <c r="A1684" s="642">
        <v>45954</v>
      </c>
      <c r="B1684" s="639" t="s">
        <v>390</v>
      </c>
      <c r="C1684" s="631"/>
      <c r="D1684" s="631"/>
      <c r="E1684" s="631"/>
      <c r="F1684" s="633">
        <f>O1684*N1684/9</f>
        <v>0</v>
      </c>
      <c r="G1684" s="631"/>
      <c r="H1684" s="631"/>
      <c r="I1684" s="631"/>
      <c r="J1684" s="631"/>
      <c r="K1684" s="476"/>
      <c r="L1684" s="629">
        <f>N1684</f>
        <v>0</v>
      </c>
      <c r="N1684" s="1">
        <v>0</v>
      </c>
      <c r="O1684" s="366">
        <f>O1681</f>
        <v>1530.67</v>
      </c>
    </row>
    <row r="1685" spans="1:15" ht="24.6" customHeight="1" x14ac:dyDescent="0.4">
      <c r="A1685" s="643"/>
      <c r="B1685" s="639" t="s">
        <v>390</v>
      </c>
      <c r="C1685" s="631"/>
      <c r="D1685" s="631"/>
      <c r="E1685" s="631"/>
      <c r="F1685" s="633"/>
      <c r="G1685" s="631"/>
      <c r="H1685" s="631"/>
      <c r="I1685" s="631"/>
      <c r="J1685" s="631">
        <v>30000</v>
      </c>
      <c r="K1685" s="352"/>
      <c r="L1685" s="629" t="s">
        <v>840</v>
      </c>
      <c r="O1685" s="366"/>
    </row>
    <row r="1686" spans="1:15" ht="24.6" customHeight="1" x14ac:dyDescent="0.4">
      <c r="A1686" s="644"/>
      <c r="B1686" s="639" t="s">
        <v>390</v>
      </c>
      <c r="C1686" s="631"/>
      <c r="D1686" s="631"/>
      <c r="E1686" s="631"/>
      <c r="F1686" s="633"/>
      <c r="G1686" s="631"/>
      <c r="H1686" s="631"/>
      <c r="I1686" s="631">
        <v>15000</v>
      </c>
      <c r="J1686" s="631"/>
      <c r="K1686" s="352"/>
      <c r="L1686" s="629" t="s">
        <v>841</v>
      </c>
      <c r="O1686" s="366"/>
    </row>
    <row r="1687" spans="1:15" ht="24.6" customHeight="1" x14ac:dyDescent="0.4">
      <c r="A1687" s="642">
        <v>45955</v>
      </c>
      <c r="B1687" s="639" t="s">
        <v>390</v>
      </c>
      <c r="C1687" s="631"/>
      <c r="D1687" s="631"/>
      <c r="E1687" s="631"/>
      <c r="F1687" s="633">
        <f>O1687*N1687/9</f>
        <v>16000</v>
      </c>
      <c r="G1687" s="631"/>
      <c r="H1687" s="631"/>
      <c r="I1687" s="631"/>
      <c r="J1687" s="631"/>
      <c r="K1687" s="476"/>
      <c r="L1687" s="629">
        <f>N1687</f>
        <v>94.076450181946456</v>
      </c>
      <c r="N1687" s="1">
        <v>94.076450181946456</v>
      </c>
      <c r="O1687" s="366">
        <f>O1684</f>
        <v>1530.67</v>
      </c>
    </row>
    <row r="1688" spans="1:15" ht="24.6" customHeight="1" x14ac:dyDescent="0.4">
      <c r="A1688" s="643"/>
      <c r="B1688" s="639" t="s">
        <v>390</v>
      </c>
      <c r="C1688" s="631"/>
      <c r="D1688" s="631"/>
      <c r="E1688" s="631">
        <v>9600</v>
      </c>
      <c r="F1688" s="633"/>
      <c r="G1688" s="631"/>
      <c r="H1688" s="631"/>
      <c r="I1688" s="631"/>
      <c r="J1688" s="631"/>
      <c r="K1688" s="476"/>
      <c r="L1688" s="629" t="s">
        <v>843</v>
      </c>
      <c r="O1688" s="366"/>
    </row>
    <row r="1689" spans="1:15" ht="24.6" customHeight="1" x14ac:dyDescent="0.4">
      <c r="A1689" s="643"/>
      <c r="B1689" s="639" t="s">
        <v>390</v>
      </c>
      <c r="C1689" s="631"/>
      <c r="D1689" s="631"/>
      <c r="E1689" s="631"/>
      <c r="F1689" s="633"/>
      <c r="G1689" s="631"/>
      <c r="H1689" s="631"/>
      <c r="I1689" s="631"/>
      <c r="J1689" s="631">
        <v>15000</v>
      </c>
      <c r="K1689" s="352"/>
      <c r="L1689" s="629" t="s">
        <v>840</v>
      </c>
      <c r="O1689" s="366"/>
    </row>
    <row r="1690" spans="1:15" ht="24.6" customHeight="1" x14ac:dyDescent="0.4">
      <c r="A1690" s="644"/>
      <c r="B1690" s="639" t="s">
        <v>390</v>
      </c>
      <c r="C1690" s="631"/>
      <c r="D1690" s="631"/>
      <c r="E1690" s="631"/>
      <c r="F1690" s="633"/>
      <c r="G1690" s="631"/>
      <c r="H1690" s="631"/>
      <c r="I1690" s="631">
        <v>15000</v>
      </c>
      <c r="J1690" s="631"/>
      <c r="K1690" s="352"/>
      <c r="L1690" s="629" t="s">
        <v>841</v>
      </c>
      <c r="O1690" s="366"/>
    </row>
    <row r="1691" spans="1:15" ht="24.6" customHeight="1" x14ac:dyDescent="0.4">
      <c r="A1691" s="642">
        <v>45957</v>
      </c>
      <c r="B1691" s="639" t="s">
        <v>390</v>
      </c>
      <c r="C1691" s="631"/>
      <c r="D1691" s="631"/>
      <c r="E1691" s="631"/>
      <c r="F1691" s="633">
        <f>O1691*N1691/9</f>
        <v>16000</v>
      </c>
      <c r="G1691" s="631"/>
      <c r="H1691" s="631"/>
      <c r="I1691" s="631"/>
      <c r="J1691" s="631"/>
      <c r="K1691" s="476"/>
      <c r="L1691" s="629">
        <f>N1691</f>
        <v>94.076450181946456</v>
      </c>
      <c r="N1691" s="1">
        <v>94.076450181946456</v>
      </c>
      <c r="O1691" s="366">
        <f>O1687</f>
        <v>1530.67</v>
      </c>
    </row>
    <row r="1692" spans="1:15" ht="24.6" customHeight="1" x14ac:dyDescent="0.4">
      <c r="A1692" s="643"/>
      <c r="B1692" s="639" t="s">
        <v>390</v>
      </c>
      <c r="C1692" s="631"/>
      <c r="D1692" s="631"/>
      <c r="E1692" s="631">
        <v>10750</v>
      </c>
      <c r="F1692" s="633"/>
      <c r="G1692" s="631"/>
      <c r="H1692" s="631"/>
      <c r="I1692" s="631"/>
      <c r="J1692" s="631"/>
      <c r="K1692" s="476" t="s">
        <v>844</v>
      </c>
      <c r="L1692" s="629" t="s">
        <v>843</v>
      </c>
      <c r="O1692" s="366"/>
    </row>
    <row r="1693" spans="1:15" ht="24.6" customHeight="1" x14ac:dyDescent="0.4">
      <c r="A1693" s="643"/>
      <c r="B1693" s="639" t="s">
        <v>390</v>
      </c>
      <c r="C1693" s="631"/>
      <c r="D1693" s="631"/>
      <c r="E1693" s="631"/>
      <c r="F1693" s="633"/>
      <c r="G1693" s="631"/>
      <c r="H1693" s="631"/>
      <c r="I1693" s="631"/>
      <c r="J1693" s="631">
        <v>30000</v>
      </c>
      <c r="K1693" s="352"/>
      <c r="L1693" s="629" t="s">
        <v>840</v>
      </c>
      <c r="O1693" s="366"/>
    </row>
    <row r="1694" spans="1:15" ht="24.6" customHeight="1" x14ac:dyDescent="0.4">
      <c r="A1694" s="644"/>
      <c r="B1694" s="639" t="s">
        <v>390</v>
      </c>
      <c r="C1694" s="631"/>
      <c r="D1694" s="631"/>
      <c r="E1694" s="631"/>
      <c r="F1694" s="633"/>
      <c r="G1694" s="631"/>
      <c r="H1694" s="631"/>
      <c r="I1694" s="631">
        <v>15000</v>
      </c>
      <c r="J1694" s="631"/>
      <c r="K1694" s="352"/>
      <c r="L1694" s="629" t="s">
        <v>841</v>
      </c>
      <c r="O1694" s="366"/>
    </row>
    <row r="1695" spans="1:15" ht="24.6" customHeight="1" x14ac:dyDescent="0.4">
      <c r="A1695" s="642">
        <v>45958</v>
      </c>
      <c r="B1695" s="639" t="s">
        <v>390</v>
      </c>
      <c r="C1695" s="631"/>
      <c r="D1695" s="631"/>
      <c r="E1695" s="631"/>
      <c r="F1695" s="633">
        <f>O1695*N1695/9</f>
        <v>0</v>
      </c>
      <c r="G1695" s="631"/>
      <c r="H1695" s="631"/>
      <c r="I1695" s="631"/>
      <c r="J1695" s="631"/>
      <c r="K1695" s="476"/>
      <c r="L1695" s="629">
        <f>N1695</f>
        <v>0</v>
      </c>
      <c r="N1695" s="1">
        <v>0</v>
      </c>
      <c r="O1695" s="366">
        <f>O1691</f>
        <v>1530.67</v>
      </c>
    </row>
    <row r="1696" spans="1:15" ht="24.6" customHeight="1" x14ac:dyDescent="0.4">
      <c r="A1696" s="643"/>
      <c r="B1696" s="639" t="s">
        <v>390</v>
      </c>
      <c r="C1696" s="631"/>
      <c r="D1696" s="631"/>
      <c r="E1696" s="631"/>
      <c r="F1696" s="633"/>
      <c r="G1696" s="631"/>
      <c r="H1696" s="631"/>
      <c r="I1696" s="631"/>
      <c r="J1696" s="631">
        <v>30000</v>
      </c>
      <c r="K1696" s="352"/>
      <c r="L1696" s="629" t="s">
        <v>840</v>
      </c>
      <c r="O1696" s="366"/>
    </row>
    <row r="1697" spans="1:15" ht="24.6" customHeight="1" x14ac:dyDescent="0.4">
      <c r="A1697" s="644"/>
      <c r="B1697" s="639" t="s">
        <v>390</v>
      </c>
      <c r="C1697" s="631"/>
      <c r="D1697" s="631"/>
      <c r="E1697" s="631"/>
      <c r="F1697" s="633"/>
      <c r="G1697" s="631"/>
      <c r="H1697" s="631"/>
      <c r="I1697" s="631">
        <v>15000</v>
      </c>
      <c r="J1697" s="631"/>
      <c r="K1697" s="352"/>
      <c r="L1697" s="629" t="s">
        <v>841</v>
      </c>
      <c r="O1697" s="366"/>
    </row>
    <row r="1698" spans="1:15" ht="24.6" customHeight="1" x14ac:dyDescent="0.4">
      <c r="A1698" s="642">
        <v>45959</v>
      </c>
      <c r="B1698" s="639" t="s">
        <v>390</v>
      </c>
      <c r="C1698" s="631"/>
      <c r="D1698" s="631"/>
      <c r="E1698" s="631"/>
      <c r="F1698" s="633">
        <f>O1698*N1698/9</f>
        <v>0</v>
      </c>
      <c r="G1698" s="631"/>
      <c r="H1698" s="631"/>
      <c r="I1698" s="631"/>
      <c r="J1698" s="631"/>
      <c r="K1698" s="476"/>
      <c r="L1698" s="629">
        <f>N1698</f>
        <v>0</v>
      </c>
      <c r="N1698" s="1">
        <v>0</v>
      </c>
      <c r="O1698" s="366">
        <f>O1679</f>
        <v>0</v>
      </c>
    </row>
    <row r="1699" spans="1:15" ht="24.6" customHeight="1" x14ac:dyDescent="0.4">
      <c r="A1699" s="643"/>
      <c r="B1699" s="639" t="s">
        <v>390</v>
      </c>
      <c r="C1699" s="631"/>
      <c r="D1699" s="631"/>
      <c r="E1699" s="631"/>
      <c r="F1699" s="633"/>
      <c r="G1699" s="631"/>
      <c r="H1699" s="631"/>
      <c r="I1699" s="631"/>
      <c r="J1699" s="631">
        <v>30000</v>
      </c>
      <c r="K1699" s="352"/>
      <c r="L1699" s="629" t="s">
        <v>840</v>
      </c>
      <c r="O1699" s="366"/>
    </row>
    <row r="1700" spans="1:15" ht="24.6" customHeight="1" x14ac:dyDescent="0.4">
      <c r="A1700" s="644"/>
      <c r="B1700" s="639" t="s">
        <v>390</v>
      </c>
      <c r="C1700" s="631"/>
      <c r="D1700" s="631"/>
      <c r="E1700" s="631"/>
      <c r="F1700" s="633"/>
      <c r="G1700" s="631"/>
      <c r="H1700" s="631"/>
      <c r="I1700" s="631">
        <v>15000</v>
      </c>
      <c r="J1700" s="631"/>
      <c r="K1700" s="352"/>
      <c r="L1700" s="629" t="s">
        <v>841</v>
      </c>
      <c r="O1700" s="366"/>
    </row>
    <row r="1701" spans="1:15" ht="24.6" customHeight="1" x14ac:dyDescent="0.4">
      <c r="A1701" s="642">
        <v>45960</v>
      </c>
      <c r="B1701" s="639" t="s">
        <v>390</v>
      </c>
      <c r="C1701" s="631"/>
      <c r="D1701" s="631"/>
      <c r="E1701" s="631"/>
      <c r="F1701" s="633">
        <f>O1701*N1701/9</f>
        <v>0</v>
      </c>
      <c r="G1701" s="631"/>
      <c r="H1701" s="631"/>
      <c r="I1701" s="631"/>
      <c r="J1701" s="631"/>
      <c r="K1701" s="476"/>
      <c r="L1701" s="629">
        <f>N1701</f>
        <v>0</v>
      </c>
      <c r="N1701" s="1">
        <v>0</v>
      </c>
      <c r="O1701" s="366">
        <f>O1682</f>
        <v>0</v>
      </c>
    </row>
    <row r="1702" spans="1:15" ht="24.6" customHeight="1" x14ac:dyDescent="0.4">
      <c r="A1702" s="643"/>
      <c r="B1702" s="639" t="s">
        <v>390</v>
      </c>
      <c r="C1702" s="631"/>
      <c r="D1702" s="631"/>
      <c r="E1702" s="631"/>
      <c r="F1702" s="633"/>
      <c r="G1702" s="631"/>
      <c r="H1702" s="631"/>
      <c r="I1702" s="631"/>
      <c r="J1702" s="631">
        <v>30000</v>
      </c>
      <c r="K1702" s="352"/>
      <c r="L1702" s="629" t="s">
        <v>840</v>
      </c>
      <c r="O1702" s="366"/>
    </row>
    <row r="1703" spans="1:15" ht="24.6" customHeight="1" x14ac:dyDescent="0.4">
      <c r="A1703" s="644"/>
      <c r="B1703" s="639" t="s">
        <v>390</v>
      </c>
      <c r="C1703" s="631"/>
      <c r="D1703" s="631"/>
      <c r="E1703" s="631"/>
      <c r="F1703" s="633"/>
      <c r="G1703" s="631"/>
      <c r="H1703" s="631"/>
      <c r="I1703" s="631">
        <v>15000</v>
      </c>
      <c r="J1703" s="631"/>
      <c r="K1703" s="352"/>
      <c r="L1703" s="629" t="s">
        <v>841</v>
      </c>
      <c r="O1703" s="366"/>
    </row>
    <row r="1704" spans="1:15" ht="24.6" customHeight="1" x14ac:dyDescent="0.4">
      <c r="A1704" s="642">
        <v>45961</v>
      </c>
      <c r="B1704" s="639" t="s">
        <v>390</v>
      </c>
      <c r="C1704" s="631"/>
      <c r="D1704" s="631"/>
      <c r="E1704" s="631"/>
      <c r="F1704" s="633">
        <f>O1704*N1704/9</f>
        <v>0</v>
      </c>
      <c r="G1704" s="631"/>
      <c r="H1704" s="631"/>
      <c r="I1704" s="631"/>
      <c r="J1704" s="631"/>
      <c r="K1704" s="476"/>
      <c r="L1704" s="629">
        <f>N1704</f>
        <v>0</v>
      </c>
      <c r="N1704" s="1">
        <v>0</v>
      </c>
      <c r="O1704" s="366">
        <f>O1685</f>
        <v>0</v>
      </c>
    </row>
    <row r="1705" spans="1:15" ht="24.6" customHeight="1" x14ac:dyDescent="0.4">
      <c r="A1705" s="643"/>
      <c r="B1705" s="639" t="s">
        <v>390</v>
      </c>
      <c r="C1705" s="631"/>
      <c r="D1705" s="631"/>
      <c r="E1705" s="631"/>
      <c r="F1705" s="633"/>
      <c r="G1705" s="631"/>
      <c r="H1705" s="631"/>
      <c r="I1705" s="631"/>
      <c r="J1705" s="631">
        <v>30000</v>
      </c>
      <c r="K1705" s="352"/>
      <c r="L1705" s="629" t="s">
        <v>840</v>
      </c>
      <c r="O1705" s="366"/>
    </row>
    <row r="1706" spans="1:15" ht="24.6" customHeight="1" x14ac:dyDescent="0.4">
      <c r="A1706" s="644"/>
      <c r="B1706" s="639" t="s">
        <v>390</v>
      </c>
      <c r="C1706" s="631"/>
      <c r="D1706" s="631"/>
      <c r="E1706" s="631"/>
      <c r="F1706" s="633"/>
      <c r="G1706" s="631"/>
      <c r="H1706" s="631"/>
      <c r="I1706" s="631">
        <v>15000</v>
      </c>
      <c r="J1706" s="631"/>
      <c r="K1706" s="352"/>
      <c r="L1706" s="629" t="s">
        <v>841</v>
      </c>
      <c r="O1706" s="366"/>
    </row>
    <row r="1707" spans="1:15" ht="24.6" customHeight="1" x14ac:dyDescent="0.4">
      <c r="A1707" s="642">
        <v>45962</v>
      </c>
      <c r="B1707" s="639" t="s">
        <v>390</v>
      </c>
      <c r="C1707" s="631"/>
      <c r="D1707" s="631"/>
      <c r="E1707" s="631"/>
      <c r="F1707" s="633">
        <f>O1707*N1707/9</f>
        <v>16000</v>
      </c>
      <c r="G1707" s="631"/>
      <c r="H1707" s="631"/>
      <c r="I1707" s="631"/>
      <c r="J1707" s="631"/>
      <c r="K1707" s="476"/>
      <c r="L1707" s="629">
        <f>N1707</f>
        <v>94.076450181946456</v>
      </c>
      <c r="N1707" s="1">
        <v>94.076450181946456</v>
      </c>
      <c r="O1707" s="366">
        <f>O1695</f>
        <v>1530.67</v>
      </c>
    </row>
    <row r="1708" spans="1:15" ht="24.6" customHeight="1" x14ac:dyDescent="0.4">
      <c r="A1708" s="643"/>
      <c r="B1708" s="639" t="s">
        <v>390</v>
      </c>
      <c r="C1708" s="631"/>
      <c r="D1708" s="631"/>
      <c r="E1708" s="631"/>
      <c r="F1708" s="633"/>
      <c r="G1708" s="631"/>
      <c r="H1708" s="631"/>
      <c r="I1708" s="631"/>
      <c r="J1708" s="631">
        <v>15000</v>
      </c>
      <c r="K1708" s="352"/>
      <c r="L1708" s="629" t="s">
        <v>833</v>
      </c>
      <c r="O1708" s="366"/>
    </row>
    <row r="1709" spans="1:15" ht="24.6" customHeight="1" x14ac:dyDescent="0.4">
      <c r="A1709" s="643"/>
      <c r="B1709" s="639" t="s">
        <v>390</v>
      </c>
      <c r="C1709" s="631"/>
      <c r="D1709" s="631"/>
      <c r="E1709" s="631">
        <f>8000+1500</f>
        <v>9500</v>
      </c>
      <c r="F1709" s="633"/>
      <c r="G1709" s="631"/>
      <c r="H1709" s="631"/>
      <c r="I1709" s="631"/>
      <c r="J1709" s="631"/>
      <c r="K1709" s="476" t="s">
        <v>845</v>
      </c>
      <c r="L1709" s="629" t="s">
        <v>840</v>
      </c>
      <c r="O1709" s="366"/>
    </row>
    <row r="1710" spans="1:15" ht="24.6" customHeight="1" x14ac:dyDescent="0.4">
      <c r="A1710" s="644"/>
      <c r="B1710" s="639" t="s">
        <v>390</v>
      </c>
      <c r="C1710" s="631"/>
      <c r="D1710" s="631"/>
      <c r="E1710" s="631"/>
      <c r="F1710" s="633"/>
      <c r="G1710" s="631"/>
      <c r="H1710" s="631"/>
      <c r="I1710" s="631">
        <v>7500</v>
      </c>
      <c r="J1710" s="631"/>
      <c r="K1710" s="352"/>
      <c r="L1710" s="629" t="s">
        <v>841</v>
      </c>
      <c r="O1710" s="366"/>
    </row>
    <row r="1711" spans="1:15" ht="25.2" customHeight="1" x14ac:dyDescent="0.4">
      <c r="A1711" s="645" t="s">
        <v>17</v>
      </c>
      <c r="B1711" s="645"/>
      <c r="C1711" s="631">
        <f>SUM(C1621:C1710)</f>
        <v>0</v>
      </c>
      <c r="D1711" s="631">
        <f>SUM(D1621:D1710)</f>
        <v>0</v>
      </c>
      <c r="E1711" s="631">
        <f>SUM(E1621:E1710)</f>
        <v>72350</v>
      </c>
      <c r="F1711" s="631">
        <f>ROUNDDOWN(SUM(F1621:H1710),0)</f>
        <v>128000</v>
      </c>
      <c r="G1711" s="631" t="e">
        <f>SUM(#REF!)</f>
        <v>#REF!</v>
      </c>
      <c r="H1711" s="631" t="e">
        <f>SUM(#REF!)</f>
        <v>#REF!</v>
      </c>
      <c r="I1711" s="631">
        <f>SUM(I1621:I1710)</f>
        <v>455000</v>
      </c>
      <c r="J1711" s="631">
        <f>SUM(J1621:J1710)</f>
        <v>840000</v>
      </c>
      <c r="K1711" s="476" t="s">
        <v>63</v>
      </c>
      <c r="L1711" s="599"/>
    </row>
    <row r="1712" spans="1:15" ht="25.2" customHeight="1" x14ac:dyDescent="0.4">
      <c r="A1712" s="646" t="s">
        <v>18</v>
      </c>
      <c r="B1712" s="646"/>
      <c r="C1712" s="647">
        <f>C1711+D1711+E1711+F1711+I1711+J1711</f>
        <v>1495350</v>
      </c>
      <c r="D1712" s="647"/>
      <c r="E1712" s="647"/>
      <c r="F1712" s="647"/>
      <c r="G1712" s="647"/>
      <c r="H1712" s="647"/>
      <c r="I1712" s="647"/>
      <c r="J1712" s="647"/>
      <c r="K1712" s="481" t="s">
        <v>63</v>
      </c>
      <c r="L1712" s="640">
        <f>O1620</f>
        <v>1530.67</v>
      </c>
    </row>
    <row r="1713" spans="1:16" ht="25.2" customHeight="1" x14ac:dyDescent="0.4">
      <c r="E1713" s="196"/>
    </row>
    <row r="1714" spans="1:16" ht="25.2" customHeight="1" x14ac:dyDescent="0.4">
      <c r="A1714" s="471" t="s">
        <v>0</v>
      </c>
      <c r="B1714" s="471" t="s">
        <v>1</v>
      </c>
      <c r="C1714" s="471" t="s">
        <v>4</v>
      </c>
      <c r="D1714" s="471" t="s">
        <v>287</v>
      </c>
      <c r="E1714" s="471" t="s">
        <v>74</v>
      </c>
      <c r="F1714" s="471" t="s">
        <v>3</v>
      </c>
      <c r="G1714" s="471" t="s">
        <v>4</v>
      </c>
      <c r="H1714" s="471" t="s">
        <v>5</v>
      </c>
      <c r="I1714" s="471" t="s">
        <v>6</v>
      </c>
      <c r="J1714" s="471" t="s">
        <v>7</v>
      </c>
      <c r="K1714" s="471" t="s">
        <v>60</v>
      </c>
      <c r="L1714" s="471" t="s">
        <v>8</v>
      </c>
      <c r="O1714" s="43">
        <v>1536.82</v>
      </c>
      <c r="P1714" s="43"/>
    </row>
    <row r="1715" spans="1:16" ht="24.6" customHeight="1" x14ac:dyDescent="0.4">
      <c r="A1715" s="658">
        <v>45962</v>
      </c>
      <c r="B1715" s="641" t="s">
        <v>390</v>
      </c>
      <c r="C1715" s="631"/>
      <c r="D1715" s="631"/>
      <c r="E1715" s="631"/>
      <c r="F1715" s="633"/>
      <c r="G1715" s="631"/>
      <c r="H1715" s="631"/>
      <c r="I1715" s="631">
        <f>15000/2</f>
        <v>7500</v>
      </c>
      <c r="J1715" s="631">
        <f>30000/2</f>
        <v>15000</v>
      </c>
      <c r="K1715" s="352"/>
      <c r="L1715" s="629" t="s">
        <v>846</v>
      </c>
      <c r="M1715" s="642" t="s">
        <v>855</v>
      </c>
      <c r="O1715" s="366" t="s">
        <v>847</v>
      </c>
    </row>
    <row r="1716" spans="1:16" ht="24.6" customHeight="1" x14ac:dyDescent="0.4">
      <c r="A1716" s="658"/>
      <c r="B1716" s="641" t="s">
        <v>390</v>
      </c>
      <c r="C1716" s="631"/>
      <c r="D1716" s="631"/>
      <c r="E1716" s="631"/>
      <c r="F1716" s="633">
        <f>O1716*N1716/9</f>
        <v>16500.000000000007</v>
      </c>
      <c r="G1716" s="631"/>
      <c r="H1716" s="631"/>
      <c r="I1716" s="631"/>
      <c r="J1716" s="631"/>
      <c r="K1716" s="476"/>
      <c r="L1716" s="629">
        <f>N1716</f>
        <v>96.628102185031466</v>
      </c>
      <c r="M1716" s="643"/>
      <c r="N1716" s="1">
        <v>96.628102185031466</v>
      </c>
      <c r="O1716" s="366">
        <f>O1714</f>
        <v>1536.82</v>
      </c>
    </row>
    <row r="1717" spans="1:16" ht="24.6" customHeight="1" x14ac:dyDescent="0.4">
      <c r="A1717" s="658"/>
      <c r="B1717" s="641" t="s">
        <v>390</v>
      </c>
      <c r="C1717" s="631"/>
      <c r="D1717" s="631"/>
      <c r="E1717" s="631">
        <v>9500</v>
      </c>
      <c r="F1717" s="633"/>
      <c r="G1717" s="631"/>
      <c r="H1717" s="631"/>
      <c r="I1717" s="631"/>
      <c r="J1717" s="631"/>
      <c r="K1717" s="476" t="s">
        <v>839</v>
      </c>
      <c r="L1717" s="629" t="s">
        <v>830</v>
      </c>
      <c r="M1717" s="644"/>
      <c r="O1717" s="366"/>
    </row>
    <row r="1718" spans="1:16" ht="24.6" hidden="1" customHeight="1" x14ac:dyDescent="0.4">
      <c r="A1718" s="658">
        <f>A1715+1</f>
        <v>45963</v>
      </c>
      <c r="B1718" s="641" t="s">
        <v>390</v>
      </c>
      <c r="C1718" s="631"/>
      <c r="D1718" s="631"/>
      <c r="E1718" s="631"/>
      <c r="F1718" s="633"/>
      <c r="G1718" s="631"/>
      <c r="H1718" s="631"/>
      <c r="I1718" s="631"/>
      <c r="J1718" s="631"/>
      <c r="K1718" s="352"/>
      <c r="L1718" s="629" t="s">
        <v>846</v>
      </c>
      <c r="M1718" s="642" t="s">
        <v>854</v>
      </c>
      <c r="O1718" s="366" t="s">
        <v>847</v>
      </c>
    </row>
    <row r="1719" spans="1:16" ht="24.6" hidden="1" customHeight="1" x14ac:dyDescent="0.4">
      <c r="A1719" s="658"/>
      <c r="B1719" s="641" t="s">
        <v>390</v>
      </c>
      <c r="C1719" s="631"/>
      <c r="D1719" s="631"/>
      <c r="E1719" s="631"/>
      <c r="F1719" s="633">
        <f>O1719*N1719/9</f>
        <v>0</v>
      </c>
      <c r="G1719" s="631"/>
      <c r="H1719" s="631"/>
      <c r="I1719" s="631"/>
      <c r="J1719" s="631"/>
      <c r="K1719" s="476"/>
      <c r="L1719" s="629">
        <f>N1719</f>
        <v>0</v>
      </c>
      <c r="M1719" s="643"/>
      <c r="N1719" s="1">
        <v>0</v>
      </c>
      <c r="O1719" s="366">
        <f>O1716</f>
        <v>1536.82</v>
      </c>
    </row>
    <row r="1720" spans="1:16" ht="24.6" hidden="1" customHeight="1" x14ac:dyDescent="0.4">
      <c r="A1720" s="658"/>
      <c r="B1720" s="641" t="s">
        <v>390</v>
      </c>
      <c r="C1720" s="631"/>
      <c r="D1720" s="631"/>
      <c r="E1720" s="631"/>
      <c r="F1720" s="633"/>
      <c r="G1720" s="631"/>
      <c r="H1720" s="631"/>
      <c r="I1720" s="631"/>
      <c r="J1720" s="631"/>
      <c r="K1720" s="476"/>
      <c r="L1720" s="629" t="s">
        <v>830</v>
      </c>
      <c r="M1720" s="644"/>
      <c r="O1720" s="366"/>
    </row>
    <row r="1721" spans="1:16" ht="24.6" customHeight="1" x14ac:dyDescent="0.4">
      <c r="A1721" s="658">
        <f t="shared" ref="A1721" si="24">A1718+1</f>
        <v>45964</v>
      </c>
      <c r="B1721" s="641" t="s">
        <v>390</v>
      </c>
      <c r="C1721" s="631"/>
      <c r="D1721" s="631"/>
      <c r="E1721" s="631"/>
      <c r="F1721" s="633"/>
      <c r="G1721" s="631"/>
      <c r="H1721" s="631"/>
      <c r="I1721" s="631">
        <f>15000/2</f>
        <v>7500</v>
      </c>
      <c r="J1721" s="631">
        <f>30000</f>
        <v>30000</v>
      </c>
      <c r="K1721" s="352"/>
      <c r="L1721" s="629" t="s">
        <v>846</v>
      </c>
      <c r="M1721" s="642" t="s">
        <v>848</v>
      </c>
      <c r="O1721" s="366" t="s">
        <v>847</v>
      </c>
    </row>
    <row r="1722" spans="1:16" ht="24.6" customHeight="1" x14ac:dyDescent="0.4">
      <c r="A1722" s="658"/>
      <c r="B1722" s="641" t="s">
        <v>390</v>
      </c>
      <c r="C1722" s="631"/>
      <c r="D1722" s="631"/>
      <c r="E1722" s="631"/>
      <c r="F1722" s="633">
        <f>O1722*N1722/9</f>
        <v>16500.000000000007</v>
      </c>
      <c r="G1722" s="631"/>
      <c r="H1722" s="631"/>
      <c r="I1722" s="631"/>
      <c r="J1722" s="631"/>
      <c r="K1722" s="476"/>
      <c r="L1722" s="629">
        <f>N1722</f>
        <v>96.628102185031466</v>
      </c>
      <c r="M1722" s="643"/>
      <c r="N1722" s="1">
        <v>96.628102185031466</v>
      </c>
      <c r="O1722" s="366">
        <f t="shared" ref="O1722" si="25">O1719</f>
        <v>1536.82</v>
      </c>
    </row>
    <row r="1723" spans="1:16" ht="24.6" customHeight="1" x14ac:dyDescent="0.4">
      <c r="A1723" s="658"/>
      <c r="B1723" s="641" t="s">
        <v>390</v>
      </c>
      <c r="C1723" s="631"/>
      <c r="D1723" s="631"/>
      <c r="E1723" s="631">
        <f>10000+750</f>
        <v>10750</v>
      </c>
      <c r="F1723" s="633"/>
      <c r="G1723" s="631"/>
      <c r="H1723" s="631"/>
      <c r="I1723" s="631"/>
      <c r="J1723" s="631"/>
      <c r="K1723" s="476" t="s">
        <v>839</v>
      </c>
      <c r="L1723" s="629" t="s">
        <v>830</v>
      </c>
      <c r="M1723" s="644"/>
      <c r="O1723" s="366"/>
    </row>
    <row r="1724" spans="1:16" ht="24.6" customHeight="1" x14ac:dyDescent="0.4">
      <c r="A1724" s="658">
        <f t="shared" ref="A1724" si="26">A1721+1</f>
        <v>45965</v>
      </c>
      <c r="B1724" s="641" t="s">
        <v>390</v>
      </c>
      <c r="C1724" s="631"/>
      <c r="D1724" s="631"/>
      <c r="E1724" s="631"/>
      <c r="F1724" s="633"/>
      <c r="G1724" s="631"/>
      <c r="H1724" s="631"/>
      <c r="I1724" s="631">
        <v>15000</v>
      </c>
      <c r="J1724" s="631">
        <v>30000</v>
      </c>
      <c r="K1724" s="352"/>
      <c r="L1724" s="629" t="s">
        <v>846</v>
      </c>
      <c r="M1724" s="642" t="s">
        <v>849</v>
      </c>
      <c r="O1724" s="366" t="s">
        <v>847</v>
      </c>
    </row>
    <row r="1725" spans="1:16" ht="24.6" hidden="1" customHeight="1" x14ac:dyDescent="0.4">
      <c r="A1725" s="658"/>
      <c r="B1725" s="641" t="s">
        <v>390</v>
      </c>
      <c r="C1725" s="631"/>
      <c r="D1725" s="631"/>
      <c r="E1725" s="631"/>
      <c r="F1725" s="633">
        <f>O1725*N1725/9</f>
        <v>0</v>
      </c>
      <c r="G1725" s="631"/>
      <c r="H1725" s="631"/>
      <c r="I1725" s="631"/>
      <c r="J1725" s="631"/>
      <c r="K1725" s="476"/>
      <c r="L1725" s="629">
        <f>N1725</f>
        <v>0</v>
      </c>
      <c r="M1725" s="643"/>
      <c r="N1725" s="1">
        <v>0</v>
      </c>
      <c r="O1725" s="366">
        <f t="shared" ref="O1725" si="27">O1722</f>
        <v>1536.82</v>
      </c>
    </row>
    <row r="1726" spans="1:16" ht="24.6" hidden="1" customHeight="1" x14ac:dyDescent="0.4">
      <c r="A1726" s="658"/>
      <c r="B1726" s="641" t="s">
        <v>390</v>
      </c>
      <c r="C1726" s="631"/>
      <c r="D1726" s="631"/>
      <c r="E1726" s="631"/>
      <c r="F1726" s="633"/>
      <c r="G1726" s="631"/>
      <c r="H1726" s="631"/>
      <c r="I1726" s="631"/>
      <c r="J1726" s="631"/>
      <c r="K1726" s="476"/>
      <c r="L1726" s="629" t="s">
        <v>830</v>
      </c>
      <c r="M1726" s="644"/>
      <c r="O1726" s="366"/>
    </row>
    <row r="1727" spans="1:16" ht="24.6" customHeight="1" x14ac:dyDescent="0.4">
      <c r="A1727" s="658">
        <f t="shared" ref="A1727" si="28">A1724+1</f>
        <v>45966</v>
      </c>
      <c r="B1727" s="641" t="s">
        <v>390</v>
      </c>
      <c r="C1727" s="631"/>
      <c r="D1727" s="631"/>
      <c r="E1727" s="631"/>
      <c r="F1727" s="633"/>
      <c r="G1727" s="631"/>
      <c r="H1727" s="631"/>
      <c r="I1727" s="631">
        <v>15000</v>
      </c>
      <c r="J1727" s="631">
        <v>30000</v>
      </c>
      <c r="K1727" s="352"/>
      <c r="L1727" s="629" t="s">
        <v>846</v>
      </c>
      <c r="M1727" s="642" t="s">
        <v>850</v>
      </c>
      <c r="O1727" s="366" t="s">
        <v>847</v>
      </c>
    </row>
    <row r="1728" spans="1:16" ht="24.6" hidden="1" customHeight="1" x14ac:dyDescent="0.4">
      <c r="A1728" s="658"/>
      <c r="B1728" s="641" t="s">
        <v>390</v>
      </c>
      <c r="C1728" s="631"/>
      <c r="D1728" s="631"/>
      <c r="E1728" s="631"/>
      <c r="F1728" s="633">
        <f>O1728*N1728/9</f>
        <v>0</v>
      </c>
      <c r="G1728" s="631"/>
      <c r="H1728" s="631"/>
      <c r="I1728" s="631"/>
      <c r="J1728" s="631"/>
      <c r="K1728" s="476"/>
      <c r="L1728" s="629">
        <f>N1728</f>
        <v>0</v>
      </c>
      <c r="M1728" s="643"/>
      <c r="N1728" s="1">
        <v>0</v>
      </c>
      <c r="O1728" s="366">
        <f t="shared" ref="O1728" si="29">O1725</f>
        <v>1536.82</v>
      </c>
    </row>
    <row r="1729" spans="1:15" ht="24.6" hidden="1" customHeight="1" x14ac:dyDescent="0.4">
      <c r="A1729" s="658"/>
      <c r="B1729" s="641" t="s">
        <v>390</v>
      </c>
      <c r="C1729" s="631"/>
      <c r="D1729" s="631"/>
      <c r="E1729" s="631"/>
      <c r="F1729" s="633"/>
      <c r="G1729" s="631"/>
      <c r="H1729" s="631"/>
      <c r="I1729" s="631"/>
      <c r="J1729" s="631"/>
      <c r="K1729" s="476"/>
      <c r="L1729" s="629" t="s">
        <v>830</v>
      </c>
      <c r="M1729" s="644"/>
      <c r="O1729" s="366"/>
    </row>
    <row r="1730" spans="1:15" ht="24.6" customHeight="1" x14ac:dyDescent="0.4">
      <c r="A1730" s="658">
        <f t="shared" ref="A1730" si="30">A1727+1</f>
        <v>45967</v>
      </c>
      <c r="B1730" s="641" t="s">
        <v>390</v>
      </c>
      <c r="C1730" s="631"/>
      <c r="D1730" s="631"/>
      <c r="E1730" s="631"/>
      <c r="F1730" s="633"/>
      <c r="G1730" s="631"/>
      <c r="H1730" s="631"/>
      <c r="I1730" s="631">
        <v>15000</v>
      </c>
      <c r="J1730" s="631">
        <v>30000</v>
      </c>
      <c r="K1730" s="352"/>
      <c r="L1730" s="629" t="s">
        <v>846</v>
      </c>
      <c r="M1730" s="642" t="s">
        <v>851</v>
      </c>
      <c r="O1730" s="366" t="s">
        <v>847</v>
      </c>
    </row>
    <row r="1731" spans="1:15" ht="24.6" hidden="1" customHeight="1" x14ac:dyDescent="0.4">
      <c r="A1731" s="658"/>
      <c r="B1731" s="641" t="s">
        <v>390</v>
      </c>
      <c r="C1731" s="631"/>
      <c r="D1731" s="631"/>
      <c r="E1731" s="631"/>
      <c r="F1731" s="633">
        <f>O1731*N1731/9</f>
        <v>0</v>
      </c>
      <c r="G1731" s="631"/>
      <c r="H1731" s="631"/>
      <c r="I1731" s="631"/>
      <c r="J1731" s="631"/>
      <c r="K1731" s="476"/>
      <c r="L1731" s="629">
        <f>N1731</f>
        <v>0</v>
      </c>
      <c r="M1731" s="643"/>
      <c r="N1731" s="1">
        <v>0</v>
      </c>
      <c r="O1731" s="366">
        <f t="shared" ref="O1731" si="31">O1728</f>
        <v>1536.82</v>
      </c>
    </row>
    <row r="1732" spans="1:15" ht="24.6" hidden="1" customHeight="1" x14ac:dyDescent="0.4">
      <c r="A1732" s="658"/>
      <c r="B1732" s="641" t="s">
        <v>390</v>
      </c>
      <c r="C1732" s="631"/>
      <c r="D1732" s="631"/>
      <c r="E1732" s="631"/>
      <c r="F1732" s="633"/>
      <c r="G1732" s="631"/>
      <c r="H1732" s="631"/>
      <c r="I1732" s="631"/>
      <c r="J1732" s="631"/>
      <c r="K1732" s="476"/>
      <c r="L1732" s="629" t="s">
        <v>830</v>
      </c>
      <c r="M1732" s="644"/>
      <c r="O1732" s="366"/>
    </row>
    <row r="1733" spans="1:15" ht="24.6" customHeight="1" x14ac:dyDescent="0.4">
      <c r="A1733" s="658">
        <f t="shared" ref="A1733" si="32">A1730+1</f>
        <v>45968</v>
      </c>
      <c r="B1733" s="641" t="s">
        <v>390</v>
      </c>
      <c r="C1733" s="631"/>
      <c r="D1733" s="631"/>
      <c r="E1733" s="631"/>
      <c r="F1733" s="633"/>
      <c r="G1733" s="631"/>
      <c r="H1733" s="631"/>
      <c r="I1733" s="631">
        <v>15000</v>
      </c>
      <c r="J1733" s="631">
        <v>30000</v>
      </c>
      <c r="K1733" s="352"/>
      <c r="L1733" s="629" t="s">
        <v>846</v>
      </c>
      <c r="M1733" s="642" t="s">
        <v>852</v>
      </c>
      <c r="O1733" s="366" t="s">
        <v>847</v>
      </c>
    </row>
    <row r="1734" spans="1:15" ht="24.6" hidden="1" customHeight="1" x14ac:dyDescent="0.4">
      <c r="A1734" s="658"/>
      <c r="B1734" s="641" t="s">
        <v>390</v>
      </c>
      <c r="C1734" s="631"/>
      <c r="D1734" s="631"/>
      <c r="E1734" s="631"/>
      <c r="F1734" s="633">
        <f>O1734*N1734/9</f>
        <v>0</v>
      </c>
      <c r="G1734" s="631"/>
      <c r="H1734" s="631"/>
      <c r="I1734" s="631"/>
      <c r="J1734" s="631"/>
      <c r="K1734" s="476"/>
      <c r="L1734" s="629">
        <f>N1734</f>
        <v>0</v>
      </c>
      <c r="M1734" s="643"/>
      <c r="N1734" s="1">
        <v>0</v>
      </c>
      <c r="O1734" s="366">
        <f t="shared" ref="O1734" si="33">O1731</f>
        <v>1536.82</v>
      </c>
    </row>
    <row r="1735" spans="1:15" ht="24.6" hidden="1" customHeight="1" x14ac:dyDescent="0.4">
      <c r="A1735" s="658"/>
      <c r="B1735" s="641" t="s">
        <v>390</v>
      </c>
      <c r="C1735" s="631"/>
      <c r="D1735" s="631"/>
      <c r="E1735" s="631"/>
      <c r="F1735" s="633"/>
      <c r="G1735" s="631"/>
      <c r="H1735" s="631"/>
      <c r="I1735" s="631"/>
      <c r="J1735" s="631"/>
      <c r="K1735" s="476"/>
      <c r="L1735" s="629" t="s">
        <v>830</v>
      </c>
      <c r="M1735" s="644"/>
      <c r="O1735" s="366"/>
    </row>
    <row r="1736" spans="1:15" ht="24.6" customHeight="1" x14ac:dyDescent="0.4">
      <c r="A1736" s="658">
        <f t="shared" ref="A1736" si="34">A1733+1</f>
        <v>45969</v>
      </c>
      <c r="B1736" s="641" t="s">
        <v>390</v>
      </c>
      <c r="C1736" s="631"/>
      <c r="D1736" s="631"/>
      <c r="E1736" s="631"/>
      <c r="F1736" s="633"/>
      <c r="G1736" s="631"/>
      <c r="H1736" s="631"/>
      <c r="I1736" s="631">
        <f>15000/2</f>
        <v>7500</v>
      </c>
      <c r="J1736" s="631">
        <f>30000/2</f>
        <v>15000</v>
      </c>
      <c r="K1736" s="352"/>
      <c r="L1736" s="629" t="s">
        <v>846</v>
      </c>
      <c r="M1736" s="642" t="s">
        <v>853</v>
      </c>
      <c r="O1736" s="366" t="s">
        <v>847</v>
      </c>
    </row>
    <row r="1737" spans="1:15" ht="24.6" customHeight="1" x14ac:dyDescent="0.4">
      <c r="A1737" s="658"/>
      <c r="B1737" s="641" t="s">
        <v>390</v>
      </c>
      <c r="C1737" s="631"/>
      <c r="D1737" s="631"/>
      <c r="E1737" s="631"/>
      <c r="F1737" s="633">
        <f>O1737*N1737/9</f>
        <v>16500.000000000007</v>
      </c>
      <c r="G1737" s="631"/>
      <c r="H1737" s="631"/>
      <c r="I1737" s="631"/>
      <c r="J1737" s="631"/>
      <c r="K1737" s="476"/>
      <c r="L1737" s="629">
        <f>N1737</f>
        <v>96.628102185031466</v>
      </c>
      <c r="M1737" s="643"/>
      <c r="N1737" s="1">
        <v>96.628102185031466</v>
      </c>
      <c r="O1737" s="366">
        <f t="shared" ref="O1737" si="35">O1734</f>
        <v>1536.82</v>
      </c>
    </row>
    <row r="1738" spans="1:15" ht="24.6" customHeight="1" x14ac:dyDescent="0.4">
      <c r="A1738" s="658"/>
      <c r="B1738" s="641" t="s">
        <v>390</v>
      </c>
      <c r="C1738" s="631"/>
      <c r="D1738" s="631"/>
      <c r="E1738" s="631">
        <v>8000</v>
      </c>
      <c r="F1738" s="633"/>
      <c r="G1738" s="631"/>
      <c r="H1738" s="631"/>
      <c r="I1738" s="631"/>
      <c r="J1738" s="631"/>
      <c r="K1738" s="476" t="s">
        <v>839</v>
      </c>
      <c r="L1738" s="629" t="s">
        <v>830</v>
      </c>
      <c r="M1738" s="644"/>
      <c r="O1738" s="366"/>
    </row>
    <row r="1739" spans="1:15" ht="24.6" customHeight="1" x14ac:dyDescent="0.4">
      <c r="A1739" s="658">
        <f t="shared" ref="A1739" si="36">A1736+1</f>
        <v>45970</v>
      </c>
      <c r="B1739" s="641" t="s">
        <v>390</v>
      </c>
      <c r="C1739" s="631"/>
      <c r="D1739" s="631"/>
      <c r="E1739" s="631"/>
      <c r="F1739" s="633"/>
      <c r="G1739" s="631"/>
      <c r="H1739" s="631"/>
      <c r="I1739" s="631">
        <f>20000/2</f>
        <v>10000</v>
      </c>
      <c r="J1739" s="631">
        <f>30000/2</f>
        <v>15000</v>
      </c>
      <c r="K1739" s="352"/>
      <c r="L1739" s="629" t="s">
        <v>846</v>
      </c>
      <c r="M1739" s="642" t="s">
        <v>854</v>
      </c>
      <c r="O1739" s="366" t="s">
        <v>847</v>
      </c>
    </row>
    <row r="1740" spans="1:15" ht="24.6" customHeight="1" x14ac:dyDescent="0.4">
      <c r="A1740" s="658"/>
      <c r="B1740" s="641" t="s">
        <v>390</v>
      </c>
      <c r="C1740" s="631"/>
      <c r="D1740" s="631"/>
      <c r="E1740" s="631"/>
      <c r="F1740" s="633">
        <f>O1740*N1740/9</f>
        <v>16500.000000000007</v>
      </c>
      <c r="G1740" s="631"/>
      <c r="H1740" s="631"/>
      <c r="I1740" s="631"/>
      <c r="J1740" s="631"/>
      <c r="K1740" s="476"/>
      <c r="L1740" s="629">
        <f>N1740</f>
        <v>96.628102185031466</v>
      </c>
      <c r="M1740" s="643"/>
      <c r="N1740" s="1">
        <v>96.628102185031466</v>
      </c>
      <c r="O1740" s="366">
        <f t="shared" ref="O1740" si="37">O1737</f>
        <v>1536.82</v>
      </c>
    </row>
    <row r="1741" spans="1:15" ht="24.6" customHeight="1" x14ac:dyDescent="0.4">
      <c r="A1741" s="658"/>
      <c r="B1741" s="641" t="s">
        <v>390</v>
      </c>
      <c r="C1741" s="631"/>
      <c r="D1741" s="631"/>
      <c r="E1741" s="631">
        <v>9500</v>
      </c>
      <c r="F1741" s="633"/>
      <c r="G1741" s="631"/>
      <c r="H1741" s="631"/>
      <c r="I1741" s="631"/>
      <c r="J1741" s="631"/>
      <c r="K1741" s="476" t="s">
        <v>839</v>
      </c>
      <c r="L1741" s="629" t="s">
        <v>830</v>
      </c>
      <c r="M1741" s="644"/>
      <c r="O1741" s="366"/>
    </row>
    <row r="1742" spans="1:15" ht="24.6" customHeight="1" x14ac:dyDescent="0.4">
      <c r="A1742" s="658">
        <f t="shared" ref="A1742" si="38">A1739+1</f>
        <v>45971</v>
      </c>
      <c r="B1742" s="641" t="s">
        <v>390</v>
      </c>
      <c r="C1742" s="631"/>
      <c r="D1742" s="631"/>
      <c r="E1742" s="631"/>
      <c r="F1742" s="633"/>
      <c r="G1742" s="631"/>
      <c r="H1742" s="631"/>
      <c r="I1742" s="631">
        <v>15000</v>
      </c>
      <c r="J1742" s="631">
        <v>30000</v>
      </c>
      <c r="K1742" s="352"/>
      <c r="L1742" s="629" t="s">
        <v>846</v>
      </c>
      <c r="M1742" s="642" t="s">
        <v>848</v>
      </c>
      <c r="O1742" s="366" t="s">
        <v>847</v>
      </c>
    </row>
    <row r="1743" spans="1:15" ht="24.6" hidden="1" customHeight="1" x14ac:dyDescent="0.4">
      <c r="A1743" s="658"/>
      <c r="B1743" s="641" t="s">
        <v>390</v>
      </c>
      <c r="C1743" s="631"/>
      <c r="D1743" s="631"/>
      <c r="E1743" s="631"/>
      <c r="F1743" s="633">
        <f>O1743*N1743/9</f>
        <v>0</v>
      </c>
      <c r="G1743" s="631"/>
      <c r="H1743" s="631"/>
      <c r="I1743" s="631"/>
      <c r="J1743" s="631"/>
      <c r="K1743" s="476"/>
      <c r="L1743" s="629">
        <f>N1743</f>
        <v>0</v>
      </c>
      <c r="M1743" s="643"/>
      <c r="N1743" s="1">
        <v>0</v>
      </c>
      <c r="O1743" s="366">
        <f t="shared" ref="O1743" si="39">O1740</f>
        <v>1536.82</v>
      </c>
    </row>
    <row r="1744" spans="1:15" ht="24.6" hidden="1" customHeight="1" x14ac:dyDescent="0.4">
      <c r="A1744" s="658"/>
      <c r="B1744" s="641" t="s">
        <v>390</v>
      </c>
      <c r="C1744" s="631"/>
      <c r="D1744" s="631"/>
      <c r="E1744" s="631"/>
      <c r="F1744" s="633"/>
      <c r="G1744" s="631"/>
      <c r="H1744" s="631"/>
      <c r="I1744" s="631"/>
      <c r="J1744" s="631"/>
      <c r="K1744" s="476"/>
      <c r="L1744" s="629" t="s">
        <v>830</v>
      </c>
      <c r="M1744" s="644"/>
      <c r="O1744" s="366"/>
    </row>
    <row r="1745" spans="1:15" ht="24.6" customHeight="1" x14ac:dyDescent="0.4">
      <c r="A1745" s="658">
        <f t="shared" ref="A1745" si="40">A1742+1</f>
        <v>45972</v>
      </c>
      <c r="B1745" s="641" t="s">
        <v>390</v>
      </c>
      <c r="C1745" s="631"/>
      <c r="D1745" s="631"/>
      <c r="E1745" s="631"/>
      <c r="F1745" s="633"/>
      <c r="G1745" s="631"/>
      <c r="H1745" s="631"/>
      <c r="I1745" s="631">
        <v>15000</v>
      </c>
      <c r="J1745" s="631">
        <v>30000</v>
      </c>
      <c r="K1745" s="352"/>
      <c r="L1745" s="629" t="s">
        <v>846</v>
      </c>
      <c r="M1745" s="642" t="s">
        <v>849</v>
      </c>
      <c r="O1745" s="366" t="s">
        <v>847</v>
      </c>
    </row>
    <row r="1746" spans="1:15" ht="24.6" hidden="1" customHeight="1" x14ac:dyDescent="0.4">
      <c r="A1746" s="658"/>
      <c r="B1746" s="641" t="s">
        <v>390</v>
      </c>
      <c r="C1746" s="631"/>
      <c r="D1746" s="631"/>
      <c r="E1746" s="631"/>
      <c r="F1746" s="633">
        <f>O1746*N1746/9</f>
        <v>0</v>
      </c>
      <c r="G1746" s="631"/>
      <c r="H1746" s="631"/>
      <c r="I1746" s="631"/>
      <c r="J1746" s="631"/>
      <c r="K1746" s="476"/>
      <c r="L1746" s="629">
        <f>N1746</f>
        <v>0</v>
      </c>
      <c r="M1746" s="643"/>
      <c r="N1746" s="1">
        <v>0</v>
      </c>
      <c r="O1746" s="366">
        <f t="shared" ref="O1746" si="41">O1743</f>
        <v>1536.82</v>
      </c>
    </row>
    <row r="1747" spans="1:15" ht="24.6" hidden="1" customHeight="1" x14ac:dyDescent="0.4">
      <c r="A1747" s="658"/>
      <c r="B1747" s="641" t="s">
        <v>390</v>
      </c>
      <c r="C1747" s="631"/>
      <c r="D1747" s="631"/>
      <c r="E1747" s="631"/>
      <c r="F1747" s="633"/>
      <c r="G1747" s="631"/>
      <c r="H1747" s="631"/>
      <c r="I1747" s="631"/>
      <c r="J1747" s="631"/>
      <c r="K1747" s="476"/>
      <c r="L1747" s="629" t="s">
        <v>830</v>
      </c>
      <c r="M1747" s="644"/>
      <c r="O1747" s="366"/>
    </row>
    <row r="1748" spans="1:15" ht="24.6" customHeight="1" x14ac:dyDescent="0.4">
      <c r="A1748" s="658">
        <f t="shared" ref="A1748" si="42">A1745+1</f>
        <v>45973</v>
      </c>
      <c r="B1748" s="641" t="s">
        <v>390</v>
      </c>
      <c r="C1748" s="631"/>
      <c r="D1748" s="631"/>
      <c r="E1748" s="631"/>
      <c r="F1748" s="633"/>
      <c r="G1748" s="631"/>
      <c r="H1748" s="631"/>
      <c r="I1748" s="631">
        <v>15000</v>
      </c>
      <c r="J1748" s="631">
        <v>30000</v>
      </c>
      <c r="K1748" s="352"/>
      <c r="L1748" s="629" t="s">
        <v>846</v>
      </c>
      <c r="M1748" s="642" t="s">
        <v>850</v>
      </c>
      <c r="O1748" s="366" t="s">
        <v>847</v>
      </c>
    </row>
    <row r="1749" spans="1:15" ht="24.6" hidden="1" customHeight="1" x14ac:dyDescent="0.4">
      <c r="A1749" s="658"/>
      <c r="B1749" s="641" t="s">
        <v>390</v>
      </c>
      <c r="C1749" s="631"/>
      <c r="D1749" s="631"/>
      <c r="E1749" s="631"/>
      <c r="F1749" s="633">
        <f>O1749*N1749/9</f>
        <v>0</v>
      </c>
      <c r="G1749" s="631"/>
      <c r="H1749" s="631"/>
      <c r="I1749" s="631"/>
      <c r="J1749" s="631"/>
      <c r="K1749" s="476"/>
      <c r="L1749" s="629">
        <f>N1749</f>
        <v>0</v>
      </c>
      <c r="M1749" s="643"/>
      <c r="N1749" s="1">
        <v>0</v>
      </c>
      <c r="O1749" s="366">
        <f t="shared" ref="O1749" si="43">O1746</f>
        <v>1536.82</v>
      </c>
    </row>
    <row r="1750" spans="1:15" ht="24.6" hidden="1" customHeight="1" x14ac:dyDescent="0.4">
      <c r="A1750" s="658"/>
      <c r="B1750" s="641" t="s">
        <v>390</v>
      </c>
      <c r="C1750" s="631"/>
      <c r="D1750" s="631"/>
      <c r="E1750" s="631"/>
      <c r="F1750" s="633"/>
      <c r="G1750" s="631"/>
      <c r="H1750" s="631"/>
      <c r="I1750" s="631"/>
      <c r="J1750" s="631"/>
      <c r="K1750" s="476"/>
      <c r="L1750" s="629" t="s">
        <v>830</v>
      </c>
      <c r="M1750" s="644"/>
      <c r="O1750" s="366"/>
    </row>
    <row r="1751" spans="1:15" ht="24.6" customHeight="1" x14ac:dyDescent="0.4">
      <c r="A1751" s="658">
        <f t="shared" ref="A1751" si="44">A1748+1</f>
        <v>45974</v>
      </c>
      <c r="B1751" s="641" t="s">
        <v>390</v>
      </c>
      <c r="C1751" s="631"/>
      <c r="D1751" s="631"/>
      <c r="E1751" s="631"/>
      <c r="F1751" s="633"/>
      <c r="G1751" s="631"/>
      <c r="H1751" s="631"/>
      <c r="I1751" s="631">
        <v>15000</v>
      </c>
      <c r="J1751" s="631">
        <v>30000</v>
      </c>
      <c r="K1751" s="352"/>
      <c r="L1751" s="629" t="s">
        <v>846</v>
      </c>
      <c r="M1751" s="642" t="s">
        <v>851</v>
      </c>
      <c r="O1751" s="366" t="s">
        <v>847</v>
      </c>
    </row>
    <row r="1752" spans="1:15" ht="24.6" hidden="1" customHeight="1" x14ac:dyDescent="0.4">
      <c r="A1752" s="658"/>
      <c r="B1752" s="641" t="s">
        <v>390</v>
      </c>
      <c r="C1752" s="631"/>
      <c r="D1752" s="631"/>
      <c r="E1752" s="631"/>
      <c r="F1752" s="633">
        <f>O1752*N1752/9</f>
        <v>0</v>
      </c>
      <c r="G1752" s="631"/>
      <c r="H1752" s="631"/>
      <c r="I1752" s="631"/>
      <c r="J1752" s="631"/>
      <c r="K1752" s="476"/>
      <c r="L1752" s="629">
        <f>N1752</f>
        <v>0</v>
      </c>
      <c r="M1752" s="643"/>
      <c r="N1752" s="1">
        <v>0</v>
      </c>
      <c r="O1752" s="366">
        <f t="shared" ref="O1752" si="45">O1749</f>
        <v>1536.82</v>
      </c>
    </row>
    <row r="1753" spans="1:15" ht="24.6" hidden="1" customHeight="1" x14ac:dyDescent="0.4">
      <c r="A1753" s="658"/>
      <c r="B1753" s="641" t="s">
        <v>390</v>
      </c>
      <c r="C1753" s="631"/>
      <c r="D1753" s="631"/>
      <c r="E1753" s="631"/>
      <c r="F1753" s="633"/>
      <c r="G1753" s="631"/>
      <c r="H1753" s="631"/>
      <c r="I1753" s="631"/>
      <c r="J1753" s="631"/>
      <c r="K1753" s="476"/>
      <c r="L1753" s="629" t="s">
        <v>830</v>
      </c>
      <c r="M1753" s="644"/>
      <c r="O1753" s="366"/>
    </row>
    <row r="1754" spans="1:15" ht="24.6" customHeight="1" x14ac:dyDescent="0.4">
      <c r="A1754" s="658">
        <f t="shared" ref="A1754" si="46">A1751+1</f>
        <v>45975</v>
      </c>
      <c r="B1754" s="641" t="s">
        <v>390</v>
      </c>
      <c r="C1754" s="631"/>
      <c r="D1754" s="631"/>
      <c r="E1754" s="631"/>
      <c r="F1754" s="633"/>
      <c r="G1754" s="631"/>
      <c r="H1754" s="631"/>
      <c r="I1754" s="631">
        <v>15000</v>
      </c>
      <c r="J1754" s="631">
        <v>30000</v>
      </c>
      <c r="K1754" s="352"/>
      <c r="L1754" s="629" t="s">
        <v>846</v>
      </c>
      <c r="M1754" s="642" t="s">
        <v>852</v>
      </c>
      <c r="O1754" s="366" t="s">
        <v>847</v>
      </c>
    </row>
    <row r="1755" spans="1:15" ht="24.6" hidden="1" customHeight="1" x14ac:dyDescent="0.4">
      <c r="A1755" s="658"/>
      <c r="B1755" s="641" t="s">
        <v>390</v>
      </c>
      <c r="C1755" s="631"/>
      <c r="D1755" s="631"/>
      <c r="E1755" s="631"/>
      <c r="F1755" s="633">
        <f>O1755*N1755/9</f>
        <v>0</v>
      </c>
      <c r="G1755" s="631"/>
      <c r="H1755" s="631"/>
      <c r="I1755" s="631"/>
      <c r="J1755" s="631"/>
      <c r="K1755" s="476"/>
      <c r="L1755" s="629">
        <f>N1755</f>
        <v>0</v>
      </c>
      <c r="M1755" s="643"/>
      <c r="O1755" s="366">
        <f t="shared" ref="O1755" si="47">O1752</f>
        <v>1536.82</v>
      </c>
    </row>
    <row r="1756" spans="1:15" ht="24.6" hidden="1" customHeight="1" x14ac:dyDescent="0.4">
      <c r="A1756" s="658"/>
      <c r="B1756" s="641" t="s">
        <v>390</v>
      </c>
      <c r="C1756" s="631"/>
      <c r="D1756" s="631"/>
      <c r="E1756" s="631"/>
      <c r="F1756" s="633"/>
      <c r="G1756" s="631"/>
      <c r="H1756" s="631"/>
      <c r="I1756" s="631"/>
      <c r="J1756" s="631"/>
      <c r="K1756" s="476"/>
      <c r="L1756" s="629" t="s">
        <v>830</v>
      </c>
      <c r="M1756" s="644"/>
      <c r="O1756" s="366"/>
    </row>
    <row r="1757" spans="1:15" ht="24.6" customHeight="1" x14ac:dyDescent="0.4">
      <c r="A1757" s="658">
        <f t="shared" ref="A1757" si="48">A1754+1</f>
        <v>45976</v>
      </c>
      <c r="B1757" s="641" t="s">
        <v>390</v>
      </c>
      <c r="C1757" s="631"/>
      <c r="D1757" s="631"/>
      <c r="E1757" s="631"/>
      <c r="F1757" s="633"/>
      <c r="G1757" s="631"/>
      <c r="H1757" s="631"/>
      <c r="I1757" s="631">
        <f>15000/2</f>
        <v>7500</v>
      </c>
      <c r="J1757" s="631">
        <f>30000/2</f>
        <v>15000</v>
      </c>
      <c r="K1757" s="352"/>
      <c r="L1757" s="629" t="s">
        <v>846</v>
      </c>
      <c r="M1757" s="642" t="s">
        <v>853</v>
      </c>
      <c r="O1757" s="366" t="s">
        <v>847</v>
      </c>
    </row>
    <row r="1758" spans="1:15" ht="24.6" customHeight="1" x14ac:dyDescent="0.4">
      <c r="A1758" s="658"/>
      <c r="B1758" s="641" t="s">
        <v>390</v>
      </c>
      <c r="C1758" s="631"/>
      <c r="D1758" s="631"/>
      <c r="E1758" s="631"/>
      <c r="F1758" s="633">
        <f>O1758*N1758/9</f>
        <v>16500.000000000007</v>
      </c>
      <c r="G1758" s="631"/>
      <c r="H1758" s="631"/>
      <c r="I1758" s="631"/>
      <c r="J1758" s="631"/>
      <c r="K1758" s="476"/>
      <c r="L1758" s="629">
        <f>N1758</f>
        <v>96.628102185031466</v>
      </c>
      <c r="M1758" s="643"/>
      <c r="N1758" s="1">
        <v>96.628102185031466</v>
      </c>
      <c r="O1758" s="366">
        <f t="shared" ref="O1758" si="49">O1755</f>
        <v>1536.82</v>
      </c>
    </row>
    <row r="1759" spans="1:15" ht="24.6" customHeight="1" x14ac:dyDescent="0.4">
      <c r="A1759" s="658"/>
      <c r="B1759" s="641" t="s">
        <v>390</v>
      </c>
      <c r="C1759" s="631"/>
      <c r="D1759" s="631"/>
      <c r="E1759" s="631">
        <v>8000</v>
      </c>
      <c r="F1759" s="633"/>
      <c r="G1759" s="631"/>
      <c r="H1759" s="631"/>
      <c r="I1759" s="631"/>
      <c r="J1759" s="631"/>
      <c r="K1759" s="476"/>
      <c r="L1759" s="629" t="s">
        <v>830</v>
      </c>
      <c r="M1759" s="644"/>
      <c r="O1759" s="366"/>
    </row>
    <row r="1760" spans="1:15" ht="24.6" customHeight="1" x14ac:dyDescent="0.4">
      <c r="A1760" s="658">
        <f t="shared" ref="A1760" si="50">A1757+1</f>
        <v>45977</v>
      </c>
      <c r="B1760" s="641" t="s">
        <v>390</v>
      </c>
      <c r="C1760" s="631"/>
      <c r="D1760" s="631"/>
      <c r="E1760" s="631"/>
      <c r="F1760" s="633"/>
      <c r="G1760" s="631"/>
      <c r="H1760" s="631"/>
      <c r="I1760" s="631">
        <f>20000/2</f>
        <v>10000</v>
      </c>
      <c r="J1760" s="631">
        <f>30000/2</f>
        <v>15000</v>
      </c>
      <c r="K1760" s="352"/>
      <c r="L1760" s="629" t="s">
        <v>846</v>
      </c>
      <c r="M1760" s="642" t="s">
        <v>854</v>
      </c>
      <c r="O1760" s="366" t="s">
        <v>847</v>
      </c>
    </row>
    <row r="1761" spans="1:15" ht="24.6" customHeight="1" x14ac:dyDescent="0.4">
      <c r="A1761" s="658"/>
      <c r="B1761" s="641" t="s">
        <v>390</v>
      </c>
      <c r="C1761" s="631"/>
      <c r="D1761" s="631"/>
      <c r="E1761" s="631"/>
      <c r="F1761" s="633">
        <f>O1761*N1761/9</f>
        <v>16500.000000000007</v>
      </c>
      <c r="G1761" s="631"/>
      <c r="H1761" s="631"/>
      <c r="I1761" s="631"/>
      <c r="J1761" s="631"/>
      <c r="K1761" s="476"/>
      <c r="L1761" s="629">
        <f>N1761</f>
        <v>96.628102185031466</v>
      </c>
      <c r="M1761" s="643"/>
      <c r="N1761" s="1">
        <v>96.628102185031466</v>
      </c>
      <c r="O1761" s="366">
        <f t="shared" ref="O1761" si="51">O1758</f>
        <v>1536.82</v>
      </c>
    </row>
    <row r="1762" spans="1:15" ht="24.6" customHeight="1" x14ac:dyDescent="0.4">
      <c r="A1762" s="658"/>
      <c r="B1762" s="641" t="s">
        <v>390</v>
      </c>
      <c r="C1762" s="631"/>
      <c r="D1762" s="631"/>
      <c r="E1762" s="631">
        <v>9500</v>
      </c>
      <c r="F1762" s="633"/>
      <c r="G1762" s="631"/>
      <c r="H1762" s="631"/>
      <c r="I1762" s="631"/>
      <c r="J1762" s="631"/>
      <c r="K1762" s="476" t="s">
        <v>839</v>
      </c>
      <c r="L1762" s="629" t="s">
        <v>830</v>
      </c>
      <c r="M1762" s="644"/>
      <c r="O1762" s="366"/>
    </row>
    <row r="1763" spans="1:15" ht="24.6" customHeight="1" x14ac:dyDescent="0.4">
      <c r="A1763" s="658">
        <f t="shared" ref="A1763" si="52">A1760+1</f>
        <v>45978</v>
      </c>
      <c r="B1763" s="641" t="s">
        <v>390</v>
      </c>
      <c r="C1763" s="631"/>
      <c r="D1763" s="631"/>
      <c r="E1763" s="631"/>
      <c r="F1763" s="633"/>
      <c r="G1763" s="631"/>
      <c r="H1763" s="631"/>
      <c r="I1763" s="631">
        <v>15000</v>
      </c>
      <c r="J1763" s="631">
        <v>30000</v>
      </c>
      <c r="K1763" s="352"/>
      <c r="L1763" s="629" t="s">
        <v>846</v>
      </c>
      <c r="M1763" s="642" t="s">
        <v>848</v>
      </c>
      <c r="O1763" s="366" t="s">
        <v>847</v>
      </c>
    </row>
    <row r="1764" spans="1:15" ht="24.6" hidden="1" customHeight="1" x14ac:dyDescent="0.4">
      <c r="A1764" s="658"/>
      <c r="B1764" s="641" t="s">
        <v>390</v>
      </c>
      <c r="C1764" s="631"/>
      <c r="D1764" s="631"/>
      <c r="E1764" s="631"/>
      <c r="F1764" s="633">
        <f>O1764*N1764/9</f>
        <v>0</v>
      </c>
      <c r="G1764" s="631"/>
      <c r="H1764" s="631"/>
      <c r="I1764" s="631"/>
      <c r="J1764" s="631"/>
      <c r="K1764" s="476"/>
      <c r="L1764" s="629">
        <f>N1764</f>
        <v>0</v>
      </c>
      <c r="M1764" s="643"/>
      <c r="O1764" s="366">
        <f t="shared" ref="O1764" si="53">O1761</f>
        <v>1536.82</v>
      </c>
    </row>
    <row r="1765" spans="1:15" ht="24.6" hidden="1" customHeight="1" x14ac:dyDescent="0.4">
      <c r="A1765" s="658"/>
      <c r="B1765" s="641" t="s">
        <v>390</v>
      </c>
      <c r="C1765" s="631"/>
      <c r="D1765" s="631"/>
      <c r="E1765" s="631"/>
      <c r="F1765" s="633"/>
      <c r="G1765" s="631"/>
      <c r="H1765" s="631"/>
      <c r="I1765" s="631"/>
      <c r="J1765" s="631"/>
      <c r="K1765" s="476"/>
      <c r="L1765" s="629" t="s">
        <v>830</v>
      </c>
      <c r="M1765" s="644"/>
      <c r="O1765" s="366"/>
    </row>
    <row r="1766" spans="1:15" ht="24.6" customHeight="1" x14ac:dyDescent="0.4">
      <c r="A1766" s="658">
        <f t="shared" ref="A1766" si="54">A1763+1</f>
        <v>45979</v>
      </c>
      <c r="B1766" s="641" t="s">
        <v>390</v>
      </c>
      <c r="C1766" s="631"/>
      <c r="D1766" s="631"/>
      <c r="E1766" s="631"/>
      <c r="F1766" s="633"/>
      <c r="G1766" s="631"/>
      <c r="H1766" s="631"/>
      <c r="I1766" s="631">
        <v>15000</v>
      </c>
      <c r="J1766" s="631">
        <v>30000</v>
      </c>
      <c r="K1766" s="352"/>
      <c r="L1766" s="629" t="s">
        <v>846</v>
      </c>
      <c r="M1766" s="642" t="s">
        <v>849</v>
      </c>
      <c r="O1766" s="366" t="s">
        <v>847</v>
      </c>
    </row>
    <row r="1767" spans="1:15" ht="24.6" hidden="1" customHeight="1" x14ac:dyDescent="0.4">
      <c r="A1767" s="658"/>
      <c r="B1767" s="641" t="s">
        <v>390</v>
      </c>
      <c r="C1767" s="631"/>
      <c r="D1767" s="631"/>
      <c r="E1767" s="631"/>
      <c r="F1767" s="633">
        <f>O1767*N1767/9</f>
        <v>0</v>
      </c>
      <c r="G1767" s="631"/>
      <c r="H1767" s="631"/>
      <c r="I1767" s="631"/>
      <c r="J1767" s="631"/>
      <c r="K1767" s="476"/>
      <c r="L1767" s="629">
        <f>N1767</f>
        <v>0</v>
      </c>
      <c r="M1767" s="643"/>
      <c r="O1767" s="366">
        <f t="shared" ref="O1767" si="55">O1764</f>
        <v>1536.82</v>
      </c>
    </row>
    <row r="1768" spans="1:15" ht="24.6" hidden="1" customHeight="1" x14ac:dyDescent="0.4">
      <c r="A1768" s="658"/>
      <c r="B1768" s="641" t="s">
        <v>390</v>
      </c>
      <c r="C1768" s="631"/>
      <c r="D1768" s="631"/>
      <c r="E1768" s="631"/>
      <c r="F1768" s="633"/>
      <c r="G1768" s="631"/>
      <c r="H1768" s="631"/>
      <c r="I1768" s="631"/>
      <c r="J1768" s="631"/>
      <c r="K1768" s="476"/>
      <c r="L1768" s="629" t="s">
        <v>830</v>
      </c>
      <c r="M1768" s="644"/>
      <c r="O1768" s="366"/>
    </row>
    <row r="1769" spans="1:15" ht="24.6" customHeight="1" x14ac:dyDescent="0.4">
      <c r="A1769" s="658">
        <f t="shared" ref="A1769" si="56">A1766+1</f>
        <v>45980</v>
      </c>
      <c r="B1769" s="641" t="s">
        <v>390</v>
      </c>
      <c r="C1769" s="631"/>
      <c r="D1769" s="631"/>
      <c r="E1769" s="631"/>
      <c r="F1769" s="633"/>
      <c r="G1769" s="631"/>
      <c r="H1769" s="631"/>
      <c r="I1769" s="631">
        <v>15000</v>
      </c>
      <c r="J1769" s="631">
        <v>30000</v>
      </c>
      <c r="K1769" s="352"/>
      <c r="L1769" s="629" t="s">
        <v>846</v>
      </c>
      <c r="M1769" s="642" t="s">
        <v>850</v>
      </c>
      <c r="O1769" s="366" t="s">
        <v>847</v>
      </c>
    </row>
    <row r="1770" spans="1:15" ht="24.6" hidden="1" customHeight="1" x14ac:dyDescent="0.4">
      <c r="A1770" s="658"/>
      <c r="B1770" s="641" t="s">
        <v>390</v>
      </c>
      <c r="C1770" s="631"/>
      <c r="D1770" s="631"/>
      <c r="E1770" s="631"/>
      <c r="F1770" s="633">
        <f>O1770*N1770/9</f>
        <v>0</v>
      </c>
      <c r="G1770" s="631"/>
      <c r="H1770" s="631"/>
      <c r="I1770" s="631"/>
      <c r="J1770" s="631"/>
      <c r="K1770" s="476"/>
      <c r="L1770" s="629">
        <f>N1770</f>
        <v>0</v>
      </c>
      <c r="M1770" s="643"/>
      <c r="O1770" s="366">
        <f t="shared" ref="O1770" si="57">O1767</f>
        <v>1536.82</v>
      </c>
    </row>
    <row r="1771" spans="1:15" ht="24.6" hidden="1" customHeight="1" x14ac:dyDescent="0.4">
      <c r="A1771" s="658"/>
      <c r="B1771" s="641" t="s">
        <v>390</v>
      </c>
      <c r="C1771" s="631"/>
      <c r="D1771" s="631"/>
      <c r="E1771" s="631"/>
      <c r="F1771" s="633"/>
      <c r="G1771" s="631"/>
      <c r="H1771" s="631"/>
      <c r="I1771" s="631"/>
      <c r="J1771" s="631"/>
      <c r="K1771" s="476"/>
      <c r="L1771" s="629" t="s">
        <v>830</v>
      </c>
      <c r="M1771" s="644"/>
      <c r="O1771" s="366"/>
    </row>
    <row r="1772" spans="1:15" ht="24.6" customHeight="1" x14ac:dyDescent="0.4">
      <c r="A1772" s="658">
        <f t="shared" ref="A1772" si="58">A1769+1</f>
        <v>45981</v>
      </c>
      <c r="B1772" s="641" t="s">
        <v>390</v>
      </c>
      <c r="C1772" s="631"/>
      <c r="D1772" s="631"/>
      <c r="E1772" s="631"/>
      <c r="F1772" s="633"/>
      <c r="G1772" s="631"/>
      <c r="H1772" s="631"/>
      <c r="I1772" s="631">
        <v>15000</v>
      </c>
      <c r="J1772" s="631">
        <v>30000</v>
      </c>
      <c r="K1772" s="352"/>
      <c r="L1772" s="629" t="s">
        <v>846</v>
      </c>
      <c r="M1772" s="642" t="s">
        <v>851</v>
      </c>
      <c r="O1772" s="366" t="s">
        <v>847</v>
      </c>
    </row>
    <row r="1773" spans="1:15" ht="24.6" hidden="1" customHeight="1" x14ac:dyDescent="0.4">
      <c r="A1773" s="658"/>
      <c r="B1773" s="641" t="s">
        <v>390</v>
      </c>
      <c r="C1773" s="631"/>
      <c r="D1773" s="631"/>
      <c r="E1773" s="631"/>
      <c r="F1773" s="633">
        <f>O1773*N1773/9</f>
        <v>0</v>
      </c>
      <c r="G1773" s="631"/>
      <c r="H1773" s="631"/>
      <c r="I1773" s="631"/>
      <c r="J1773" s="631"/>
      <c r="K1773" s="476"/>
      <c r="L1773" s="629">
        <f>N1773</f>
        <v>0</v>
      </c>
      <c r="M1773" s="643"/>
      <c r="O1773" s="366">
        <f t="shared" ref="O1773" si="59">O1770</f>
        <v>1536.82</v>
      </c>
    </row>
    <row r="1774" spans="1:15" ht="24.6" hidden="1" customHeight="1" x14ac:dyDescent="0.4">
      <c r="A1774" s="658"/>
      <c r="B1774" s="641" t="s">
        <v>390</v>
      </c>
      <c r="C1774" s="631"/>
      <c r="D1774" s="631"/>
      <c r="E1774" s="631"/>
      <c r="F1774" s="633"/>
      <c r="G1774" s="631"/>
      <c r="H1774" s="631"/>
      <c r="I1774" s="631"/>
      <c r="J1774" s="631"/>
      <c r="K1774" s="476"/>
      <c r="L1774" s="629" t="s">
        <v>830</v>
      </c>
      <c r="M1774" s="644"/>
      <c r="O1774" s="366"/>
    </row>
    <row r="1775" spans="1:15" ht="24.6" customHeight="1" x14ac:dyDescent="0.4">
      <c r="A1775" s="658">
        <f t="shared" ref="A1775" si="60">A1772+1</f>
        <v>45982</v>
      </c>
      <c r="B1775" s="641" t="s">
        <v>390</v>
      </c>
      <c r="C1775" s="631"/>
      <c r="D1775" s="631"/>
      <c r="E1775" s="631"/>
      <c r="F1775" s="633"/>
      <c r="G1775" s="631"/>
      <c r="H1775" s="631"/>
      <c r="I1775" s="631">
        <v>15000</v>
      </c>
      <c r="J1775" s="631">
        <v>30000</v>
      </c>
      <c r="K1775" s="352"/>
      <c r="L1775" s="629" t="s">
        <v>846</v>
      </c>
      <c r="M1775" s="642" t="s">
        <v>852</v>
      </c>
      <c r="O1775" s="366" t="s">
        <v>847</v>
      </c>
    </row>
    <row r="1776" spans="1:15" ht="24.6" hidden="1" customHeight="1" x14ac:dyDescent="0.4">
      <c r="A1776" s="658"/>
      <c r="B1776" s="641" t="s">
        <v>390</v>
      </c>
      <c r="C1776" s="631"/>
      <c r="D1776" s="631"/>
      <c r="E1776" s="631"/>
      <c r="F1776" s="633">
        <f>O1776*N1776/9</f>
        <v>0</v>
      </c>
      <c r="G1776" s="631"/>
      <c r="H1776" s="631"/>
      <c r="I1776" s="631"/>
      <c r="J1776" s="631"/>
      <c r="K1776" s="476"/>
      <c r="L1776" s="629">
        <f>N1776</f>
        <v>0</v>
      </c>
      <c r="M1776" s="643"/>
      <c r="O1776" s="366">
        <f t="shared" ref="O1776" si="61">O1773</f>
        <v>1536.82</v>
      </c>
    </row>
    <row r="1777" spans="1:15" ht="24.6" hidden="1" customHeight="1" x14ac:dyDescent="0.4">
      <c r="A1777" s="658"/>
      <c r="B1777" s="641" t="s">
        <v>390</v>
      </c>
      <c r="C1777" s="631"/>
      <c r="D1777" s="631"/>
      <c r="E1777" s="631"/>
      <c r="F1777" s="633"/>
      <c r="G1777" s="631"/>
      <c r="H1777" s="631"/>
      <c r="I1777" s="631"/>
      <c r="J1777" s="631"/>
      <c r="K1777" s="476"/>
      <c r="L1777" s="629" t="s">
        <v>830</v>
      </c>
      <c r="M1777" s="644"/>
      <c r="O1777" s="366"/>
    </row>
    <row r="1778" spans="1:15" ht="24.6" customHeight="1" x14ac:dyDescent="0.4">
      <c r="A1778" s="658">
        <f t="shared" ref="A1778" si="62">A1775+1</f>
        <v>45983</v>
      </c>
      <c r="B1778" s="641" t="s">
        <v>390</v>
      </c>
      <c r="C1778" s="631"/>
      <c r="D1778" s="631"/>
      <c r="E1778" s="631"/>
      <c r="F1778" s="633"/>
      <c r="G1778" s="631"/>
      <c r="H1778" s="631"/>
      <c r="I1778" s="631">
        <f>15000/2</f>
        <v>7500</v>
      </c>
      <c r="J1778" s="631">
        <f>30000/2</f>
        <v>15000</v>
      </c>
      <c r="K1778" s="352"/>
      <c r="L1778" s="629" t="s">
        <v>846</v>
      </c>
      <c r="M1778" s="642" t="s">
        <v>853</v>
      </c>
      <c r="O1778" s="366" t="s">
        <v>847</v>
      </c>
    </row>
    <row r="1779" spans="1:15" ht="24.6" customHeight="1" x14ac:dyDescent="0.4">
      <c r="A1779" s="658"/>
      <c r="B1779" s="641" t="s">
        <v>390</v>
      </c>
      <c r="C1779" s="631"/>
      <c r="D1779" s="631"/>
      <c r="E1779" s="631"/>
      <c r="F1779" s="633">
        <f>O1779*N1779/9</f>
        <v>16500.000000000007</v>
      </c>
      <c r="G1779" s="631"/>
      <c r="H1779" s="631"/>
      <c r="I1779" s="631"/>
      <c r="J1779" s="631"/>
      <c r="K1779" s="476"/>
      <c r="L1779" s="629">
        <f>N1779</f>
        <v>96.628102185031466</v>
      </c>
      <c r="M1779" s="643"/>
      <c r="N1779" s="1">
        <v>96.628102185031466</v>
      </c>
      <c r="O1779" s="366">
        <f t="shared" ref="O1779" si="63">O1776</f>
        <v>1536.82</v>
      </c>
    </row>
    <row r="1780" spans="1:15" ht="24.6" customHeight="1" x14ac:dyDescent="0.4">
      <c r="A1780" s="658"/>
      <c r="B1780" s="641" t="s">
        <v>390</v>
      </c>
      <c r="C1780" s="631"/>
      <c r="D1780" s="631"/>
      <c r="E1780" s="631">
        <v>9600</v>
      </c>
      <c r="F1780" s="633"/>
      <c r="G1780" s="631"/>
      <c r="H1780" s="631"/>
      <c r="I1780" s="631"/>
      <c r="J1780" s="631"/>
      <c r="K1780" s="476" t="s">
        <v>839</v>
      </c>
      <c r="L1780" s="629" t="s">
        <v>830</v>
      </c>
      <c r="M1780" s="644"/>
      <c r="O1780" s="366"/>
    </row>
    <row r="1781" spans="1:15" ht="24.6" customHeight="1" x14ac:dyDescent="0.4">
      <c r="A1781" s="658">
        <f t="shared" ref="A1781" si="64">A1778+1</f>
        <v>45984</v>
      </c>
      <c r="B1781" s="641" t="s">
        <v>390</v>
      </c>
      <c r="C1781" s="631"/>
      <c r="D1781" s="631"/>
      <c r="E1781" s="631"/>
      <c r="F1781" s="633"/>
      <c r="G1781" s="631"/>
      <c r="H1781" s="631"/>
      <c r="I1781" s="631">
        <f>20000/2</f>
        <v>10000</v>
      </c>
      <c r="J1781" s="631">
        <f>30000/2</f>
        <v>15000</v>
      </c>
      <c r="K1781" s="352"/>
      <c r="L1781" s="629" t="s">
        <v>846</v>
      </c>
      <c r="M1781" s="642" t="s">
        <v>854</v>
      </c>
      <c r="O1781" s="366" t="s">
        <v>847</v>
      </c>
    </row>
    <row r="1782" spans="1:15" ht="24.6" customHeight="1" x14ac:dyDescent="0.4">
      <c r="A1782" s="658"/>
      <c r="B1782" s="641" t="s">
        <v>390</v>
      </c>
      <c r="C1782" s="631"/>
      <c r="D1782" s="631"/>
      <c r="E1782" s="631"/>
      <c r="F1782" s="633">
        <f>O1782*N1782/9</f>
        <v>16500.000000000007</v>
      </c>
      <c r="G1782" s="631"/>
      <c r="H1782" s="631"/>
      <c r="I1782" s="631"/>
      <c r="J1782" s="631"/>
      <c r="K1782" s="476"/>
      <c r="L1782" s="629">
        <f>N1782</f>
        <v>96.628102185031466</v>
      </c>
      <c r="M1782" s="643"/>
      <c r="N1782" s="1">
        <v>96.628102185031466</v>
      </c>
      <c r="O1782" s="366">
        <f t="shared" ref="O1782" si="65">O1779</f>
        <v>1536.82</v>
      </c>
    </row>
    <row r="1783" spans="1:15" ht="24.6" customHeight="1" x14ac:dyDescent="0.4">
      <c r="A1783" s="658"/>
      <c r="B1783" s="641" t="s">
        <v>390</v>
      </c>
      <c r="C1783" s="631"/>
      <c r="D1783" s="631"/>
      <c r="E1783" s="631">
        <v>9500</v>
      </c>
      <c r="F1783" s="633"/>
      <c r="G1783" s="631"/>
      <c r="H1783" s="631"/>
      <c r="I1783" s="631"/>
      <c r="J1783" s="631"/>
      <c r="K1783" s="476" t="s">
        <v>839</v>
      </c>
      <c r="L1783" s="629" t="s">
        <v>830</v>
      </c>
      <c r="M1783" s="644"/>
      <c r="O1783" s="366"/>
    </row>
    <row r="1784" spans="1:15" ht="24.6" customHeight="1" x14ac:dyDescent="0.4">
      <c r="A1784" s="658">
        <f t="shared" ref="A1784" si="66">A1781+1</f>
        <v>45985</v>
      </c>
      <c r="B1784" s="641" t="s">
        <v>390</v>
      </c>
      <c r="C1784" s="631"/>
      <c r="D1784" s="631"/>
      <c r="E1784" s="631"/>
      <c r="F1784" s="633"/>
      <c r="G1784" s="631"/>
      <c r="H1784" s="631"/>
      <c r="I1784" s="631">
        <v>15000</v>
      </c>
      <c r="J1784" s="631">
        <v>30000</v>
      </c>
      <c r="K1784" s="352"/>
      <c r="L1784" s="629" t="s">
        <v>846</v>
      </c>
      <c r="M1784" s="642" t="s">
        <v>848</v>
      </c>
      <c r="O1784" s="366" t="s">
        <v>847</v>
      </c>
    </row>
    <row r="1785" spans="1:15" ht="24.6" hidden="1" customHeight="1" x14ac:dyDescent="0.4">
      <c r="A1785" s="658"/>
      <c r="B1785" s="641" t="s">
        <v>390</v>
      </c>
      <c r="C1785" s="631"/>
      <c r="D1785" s="631"/>
      <c r="E1785" s="631"/>
      <c r="F1785" s="633">
        <f>O1785*N1785/9</f>
        <v>0</v>
      </c>
      <c r="G1785" s="631"/>
      <c r="H1785" s="631"/>
      <c r="I1785" s="631"/>
      <c r="J1785" s="631"/>
      <c r="K1785" s="476"/>
      <c r="L1785" s="629">
        <f>N1785</f>
        <v>0</v>
      </c>
      <c r="M1785" s="643"/>
      <c r="O1785" s="366">
        <f t="shared" ref="O1785" si="67">O1782</f>
        <v>1536.82</v>
      </c>
    </row>
    <row r="1786" spans="1:15" ht="24.6" hidden="1" customHeight="1" x14ac:dyDescent="0.4">
      <c r="A1786" s="658"/>
      <c r="B1786" s="641" t="s">
        <v>390</v>
      </c>
      <c r="C1786" s="631"/>
      <c r="D1786" s="631"/>
      <c r="E1786" s="631"/>
      <c r="F1786" s="633"/>
      <c r="G1786" s="631"/>
      <c r="H1786" s="631"/>
      <c r="I1786" s="631"/>
      <c r="J1786" s="631"/>
      <c r="K1786" s="476"/>
      <c r="L1786" s="629" t="s">
        <v>830</v>
      </c>
      <c r="M1786" s="644"/>
      <c r="O1786" s="366"/>
    </row>
    <row r="1787" spans="1:15" ht="24.6" customHeight="1" x14ac:dyDescent="0.4">
      <c r="A1787" s="658">
        <f t="shared" ref="A1787" si="68">A1784+1</f>
        <v>45986</v>
      </c>
      <c r="B1787" s="641" t="s">
        <v>390</v>
      </c>
      <c r="C1787" s="631"/>
      <c r="D1787" s="631"/>
      <c r="E1787" s="631"/>
      <c r="F1787" s="633"/>
      <c r="G1787" s="631"/>
      <c r="H1787" s="631"/>
      <c r="I1787" s="631">
        <v>15000</v>
      </c>
      <c r="J1787" s="631">
        <v>30000</v>
      </c>
      <c r="K1787" s="352"/>
      <c r="L1787" s="629" t="s">
        <v>846</v>
      </c>
      <c r="M1787" s="642" t="s">
        <v>849</v>
      </c>
      <c r="O1787" s="366" t="s">
        <v>847</v>
      </c>
    </row>
    <row r="1788" spans="1:15" ht="24.6" hidden="1" customHeight="1" x14ac:dyDescent="0.4">
      <c r="A1788" s="658"/>
      <c r="B1788" s="641" t="s">
        <v>390</v>
      </c>
      <c r="C1788" s="631"/>
      <c r="D1788" s="631"/>
      <c r="E1788" s="631"/>
      <c r="F1788" s="633">
        <f>O1788*N1788/9</f>
        <v>0</v>
      </c>
      <c r="G1788" s="631"/>
      <c r="H1788" s="631"/>
      <c r="I1788" s="631"/>
      <c r="J1788" s="631"/>
      <c r="K1788" s="476"/>
      <c r="L1788" s="629">
        <f>N1788</f>
        <v>0</v>
      </c>
      <c r="M1788" s="643"/>
      <c r="O1788" s="366">
        <f t="shared" ref="O1788" si="69">O1785</f>
        <v>1536.82</v>
      </c>
    </row>
    <row r="1789" spans="1:15" ht="24.6" hidden="1" customHeight="1" x14ac:dyDescent="0.4">
      <c r="A1789" s="658"/>
      <c r="B1789" s="641" t="s">
        <v>390</v>
      </c>
      <c r="C1789" s="631"/>
      <c r="D1789" s="631"/>
      <c r="E1789" s="631"/>
      <c r="F1789" s="633"/>
      <c r="G1789" s="631"/>
      <c r="H1789" s="631"/>
      <c r="I1789" s="631"/>
      <c r="J1789" s="631"/>
      <c r="K1789" s="476"/>
      <c r="L1789" s="629" t="s">
        <v>830</v>
      </c>
      <c r="M1789" s="644"/>
      <c r="O1789" s="366"/>
    </row>
    <row r="1790" spans="1:15" ht="24.6" customHeight="1" x14ac:dyDescent="0.4">
      <c r="A1790" s="658">
        <f t="shared" ref="A1790" si="70">A1787+1</f>
        <v>45987</v>
      </c>
      <c r="B1790" s="641" t="s">
        <v>390</v>
      </c>
      <c r="C1790" s="631"/>
      <c r="D1790" s="631"/>
      <c r="E1790" s="631"/>
      <c r="F1790" s="633"/>
      <c r="G1790" s="631"/>
      <c r="H1790" s="631"/>
      <c r="I1790" s="631">
        <v>15000</v>
      </c>
      <c r="J1790" s="631">
        <v>30000</v>
      </c>
      <c r="K1790" s="352"/>
      <c r="L1790" s="629" t="s">
        <v>846</v>
      </c>
      <c r="M1790" s="642" t="s">
        <v>850</v>
      </c>
      <c r="O1790" s="366" t="s">
        <v>847</v>
      </c>
    </row>
    <row r="1791" spans="1:15" ht="24.6" hidden="1" customHeight="1" x14ac:dyDescent="0.4">
      <c r="A1791" s="658"/>
      <c r="B1791" s="641" t="s">
        <v>390</v>
      </c>
      <c r="C1791" s="631"/>
      <c r="D1791" s="631"/>
      <c r="E1791" s="631"/>
      <c r="F1791" s="633">
        <f>O1791*N1791/9</f>
        <v>0</v>
      </c>
      <c r="G1791" s="631"/>
      <c r="H1791" s="631"/>
      <c r="I1791" s="631"/>
      <c r="J1791" s="631"/>
      <c r="K1791" s="476"/>
      <c r="L1791" s="629">
        <f>N1791</f>
        <v>0</v>
      </c>
      <c r="M1791" s="643"/>
      <c r="O1791" s="366">
        <f t="shared" ref="O1791" si="71">O1788</f>
        <v>1536.82</v>
      </c>
    </row>
    <row r="1792" spans="1:15" ht="24.6" hidden="1" customHeight="1" x14ac:dyDescent="0.4">
      <c r="A1792" s="658"/>
      <c r="B1792" s="641" t="s">
        <v>390</v>
      </c>
      <c r="C1792" s="631"/>
      <c r="D1792" s="631"/>
      <c r="E1792" s="631"/>
      <c r="F1792" s="633"/>
      <c r="G1792" s="631"/>
      <c r="H1792" s="631"/>
      <c r="I1792" s="631"/>
      <c r="J1792" s="631"/>
      <c r="K1792" s="476"/>
      <c r="L1792" s="629" t="s">
        <v>830</v>
      </c>
      <c r="M1792" s="644"/>
      <c r="O1792" s="366"/>
    </row>
    <row r="1793" spans="1:15" ht="24.6" customHeight="1" x14ac:dyDescent="0.4">
      <c r="A1793" s="658">
        <f t="shared" ref="A1793" si="72">A1790+1</f>
        <v>45988</v>
      </c>
      <c r="B1793" s="641" t="s">
        <v>390</v>
      </c>
      <c r="C1793" s="631"/>
      <c r="D1793" s="631"/>
      <c r="E1793" s="631"/>
      <c r="F1793" s="633"/>
      <c r="G1793" s="631"/>
      <c r="H1793" s="631"/>
      <c r="I1793" s="631">
        <v>15000</v>
      </c>
      <c r="J1793" s="631">
        <v>30000</v>
      </c>
      <c r="K1793" s="352"/>
      <c r="L1793" s="629" t="s">
        <v>846</v>
      </c>
      <c r="M1793" s="642" t="s">
        <v>851</v>
      </c>
      <c r="O1793" s="366" t="s">
        <v>847</v>
      </c>
    </row>
    <row r="1794" spans="1:15" ht="24.6" hidden="1" customHeight="1" x14ac:dyDescent="0.4">
      <c r="A1794" s="658"/>
      <c r="B1794" s="641" t="s">
        <v>390</v>
      </c>
      <c r="C1794" s="631"/>
      <c r="D1794" s="631"/>
      <c r="E1794" s="631"/>
      <c r="F1794" s="633">
        <f>O1794*N1794/9</f>
        <v>0</v>
      </c>
      <c r="G1794" s="631"/>
      <c r="H1794" s="631"/>
      <c r="I1794" s="631"/>
      <c r="J1794" s="631"/>
      <c r="K1794" s="476"/>
      <c r="L1794" s="629">
        <f>N1794</f>
        <v>0</v>
      </c>
      <c r="M1794" s="643"/>
      <c r="O1794" s="366">
        <f t="shared" ref="O1794" si="73">O1791</f>
        <v>1536.82</v>
      </c>
    </row>
    <row r="1795" spans="1:15" ht="24.6" hidden="1" customHeight="1" x14ac:dyDescent="0.4">
      <c r="A1795" s="658"/>
      <c r="B1795" s="641" t="s">
        <v>390</v>
      </c>
      <c r="C1795" s="631"/>
      <c r="D1795" s="631"/>
      <c r="E1795" s="631"/>
      <c r="F1795" s="633"/>
      <c r="G1795" s="631"/>
      <c r="H1795" s="631"/>
      <c r="I1795" s="631"/>
      <c r="J1795" s="631"/>
      <c r="K1795" s="476"/>
      <c r="L1795" s="629" t="s">
        <v>830</v>
      </c>
      <c r="M1795" s="644"/>
      <c r="O1795" s="366"/>
    </row>
    <row r="1796" spans="1:15" ht="24.6" customHeight="1" x14ac:dyDescent="0.4">
      <c r="A1796" s="658">
        <f t="shared" ref="A1796" si="74">A1793+1</f>
        <v>45989</v>
      </c>
      <c r="B1796" s="641" t="s">
        <v>390</v>
      </c>
      <c r="C1796" s="631"/>
      <c r="D1796" s="631"/>
      <c r="E1796" s="631"/>
      <c r="F1796" s="633"/>
      <c r="G1796" s="631"/>
      <c r="H1796" s="631"/>
      <c r="I1796" s="631">
        <v>15000</v>
      </c>
      <c r="J1796" s="631">
        <v>30000</v>
      </c>
      <c r="K1796" s="352"/>
      <c r="L1796" s="629" t="s">
        <v>846</v>
      </c>
      <c r="M1796" s="642" t="s">
        <v>852</v>
      </c>
      <c r="O1796" s="366" t="s">
        <v>847</v>
      </c>
    </row>
    <row r="1797" spans="1:15" ht="24.6" hidden="1" customHeight="1" x14ac:dyDescent="0.4">
      <c r="A1797" s="658"/>
      <c r="B1797" s="641" t="s">
        <v>390</v>
      </c>
      <c r="C1797" s="631"/>
      <c r="D1797" s="631"/>
      <c r="E1797" s="631"/>
      <c r="F1797" s="633">
        <f>O1797*N1797/9</f>
        <v>0</v>
      </c>
      <c r="G1797" s="631"/>
      <c r="H1797" s="631"/>
      <c r="I1797" s="631"/>
      <c r="J1797" s="631"/>
      <c r="K1797" s="476"/>
      <c r="L1797" s="629">
        <f>N1797</f>
        <v>0</v>
      </c>
      <c r="M1797" s="643"/>
      <c r="O1797" s="366">
        <f t="shared" ref="O1797" si="75">O1794</f>
        <v>1536.82</v>
      </c>
    </row>
    <row r="1798" spans="1:15" ht="24.6" hidden="1" customHeight="1" x14ac:dyDescent="0.4">
      <c r="A1798" s="658"/>
      <c r="B1798" s="641" t="s">
        <v>390</v>
      </c>
      <c r="C1798" s="631"/>
      <c r="D1798" s="631"/>
      <c r="E1798" s="631"/>
      <c r="F1798" s="633"/>
      <c r="G1798" s="631"/>
      <c r="H1798" s="631"/>
      <c r="I1798" s="631"/>
      <c r="J1798" s="631"/>
      <c r="K1798" s="476"/>
      <c r="L1798" s="629" t="s">
        <v>830</v>
      </c>
      <c r="M1798" s="644"/>
      <c r="O1798" s="366"/>
    </row>
    <row r="1799" spans="1:15" ht="24.6" customHeight="1" x14ac:dyDescent="0.4">
      <c r="A1799" s="658">
        <f t="shared" ref="A1799" si="76">A1796+1</f>
        <v>45990</v>
      </c>
      <c r="B1799" s="641" t="s">
        <v>390</v>
      </c>
      <c r="C1799" s="631"/>
      <c r="D1799" s="631"/>
      <c r="E1799" s="631"/>
      <c r="F1799" s="633"/>
      <c r="G1799" s="631"/>
      <c r="H1799" s="631"/>
      <c r="I1799" s="631">
        <f>15000/2</f>
        <v>7500</v>
      </c>
      <c r="J1799" s="631">
        <f>30000/2</f>
        <v>15000</v>
      </c>
      <c r="K1799" s="352"/>
      <c r="L1799" s="629" t="s">
        <v>846</v>
      </c>
      <c r="M1799" s="642" t="s">
        <v>853</v>
      </c>
      <c r="O1799" s="366" t="s">
        <v>847</v>
      </c>
    </row>
    <row r="1800" spans="1:15" ht="24.6" customHeight="1" x14ac:dyDescent="0.4">
      <c r="A1800" s="658"/>
      <c r="B1800" s="641" t="s">
        <v>390</v>
      </c>
      <c r="C1800" s="631"/>
      <c r="D1800" s="631"/>
      <c r="E1800" s="631"/>
      <c r="F1800" s="633">
        <f>O1800*N1800/9</f>
        <v>16500.000000000007</v>
      </c>
      <c r="G1800" s="631"/>
      <c r="H1800" s="631"/>
      <c r="I1800" s="631"/>
      <c r="J1800" s="631"/>
      <c r="K1800" s="476"/>
      <c r="L1800" s="629">
        <f>N1800</f>
        <v>96.628102185031466</v>
      </c>
      <c r="M1800" s="643"/>
      <c r="N1800" s="1">
        <v>96.628102185031466</v>
      </c>
      <c r="O1800" s="366">
        <f t="shared" ref="O1800" si="77">O1797</f>
        <v>1536.82</v>
      </c>
    </row>
    <row r="1801" spans="1:15" ht="24.6" customHeight="1" x14ac:dyDescent="0.4">
      <c r="A1801" s="658"/>
      <c r="B1801" s="641" t="s">
        <v>390</v>
      </c>
      <c r="C1801" s="631"/>
      <c r="D1801" s="631"/>
      <c r="E1801" s="631">
        <v>9600</v>
      </c>
      <c r="F1801" s="633"/>
      <c r="G1801" s="631"/>
      <c r="H1801" s="631"/>
      <c r="I1801" s="631"/>
      <c r="J1801" s="631"/>
      <c r="K1801" s="476" t="s">
        <v>839</v>
      </c>
      <c r="L1801" s="629" t="s">
        <v>830</v>
      </c>
      <c r="M1801" s="644"/>
      <c r="O1801" s="366"/>
    </row>
    <row r="1802" spans="1:15" ht="24.6" customHeight="1" x14ac:dyDescent="0.4">
      <c r="A1802" s="658">
        <f t="shared" ref="A1802" si="78">A1799+1</f>
        <v>45991</v>
      </c>
      <c r="B1802" s="641" t="s">
        <v>390</v>
      </c>
      <c r="C1802" s="631"/>
      <c r="D1802" s="631"/>
      <c r="E1802" s="631"/>
      <c r="F1802" s="633"/>
      <c r="G1802" s="631"/>
      <c r="H1802" s="631"/>
      <c r="I1802" s="631">
        <f>20000/2</f>
        <v>10000</v>
      </c>
      <c r="J1802" s="631">
        <f>30000/2</f>
        <v>15000</v>
      </c>
      <c r="K1802" s="352"/>
      <c r="L1802" s="629" t="s">
        <v>846</v>
      </c>
      <c r="M1802" s="642" t="s">
        <v>854</v>
      </c>
      <c r="O1802" s="366" t="s">
        <v>847</v>
      </c>
    </row>
    <row r="1803" spans="1:15" ht="24.6" customHeight="1" x14ac:dyDescent="0.4">
      <c r="A1803" s="658"/>
      <c r="B1803" s="641" t="s">
        <v>390</v>
      </c>
      <c r="C1803" s="631"/>
      <c r="D1803" s="631"/>
      <c r="E1803" s="631"/>
      <c r="F1803" s="633">
        <f>O1803*N1803/9</f>
        <v>16500.000000000007</v>
      </c>
      <c r="G1803" s="631"/>
      <c r="H1803" s="631"/>
      <c r="I1803" s="631"/>
      <c r="J1803" s="631"/>
      <c r="K1803" s="476"/>
      <c r="L1803" s="629">
        <f>N1803</f>
        <v>96.628102185031466</v>
      </c>
      <c r="M1803" s="643"/>
      <c r="N1803" s="1">
        <v>96.628102185031466</v>
      </c>
      <c r="O1803" s="366">
        <f t="shared" ref="O1803" si="79">O1800</f>
        <v>1536.82</v>
      </c>
    </row>
    <row r="1804" spans="1:15" ht="24.6" customHeight="1" x14ac:dyDescent="0.4">
      <c r="A1804" s="658"/>
      <c r="B1804" s="641" t="s">
        <v>390</v>
      </c>
      <c r="C1804" s="631"/>
      <c r="D1804" s="631"/>
      <c r="E1804" s="631">
        <v>9500</v>
      </c>
      <c r="F1804" s="633"/>
      <c r="G1804" s="631"/>
      <c r="H1804" s="631"/>
      <c r="I1804" s="631"/>
      <c r="J1804" s="631"/>
      <c r="K1804" s="476" t="s">
        <v>839</v>
      </c>
      <c r="L1804" s="629" t="s">
        <v>830</v>
      </c>
      <c r="M1804" s="644"/>
      <c r="O1804" s="366"/>
    </row>
    <row r="1805" spans="1:15" ht="25.2" customHeight="1" x14ac:dyDescent="0.4">
      <c r="A1805" s="645" t="s">
        <v>17</v>
      </c>
      <c r="B1805" s="645"/>
      <c r="C1805" s="631">
        <f>SUM(C1715:C1804)</f>
        <v>0</v>
      </c>
      <c r="D1805" s="631">
        <f>SUM(D1715:D1804)</f>
        <v>0</v>
      </c>
      <c r="E1805" s="631">
        <f>SUM(E1715:E1804)</f>
        <v>93450</v>
      </c>
      <c r="F1805" s="631">
        <f>ROUNDDOWN(SUM(F1715:H1804),0)</f>
        <v>165000</v>
      </c>
      <c r="G1805" s="631" t="e">
        <f>SUM(#REF!)</f>
        <v>#REF!</v>
      </c>
      <c r="H1805" s="631" t="e">
        <f>SUM(#REF!)</f>
        <v>#REF!</v>
      </c>
      <c r="I1805" s="631">
        <f>SUM(I1715:I1804)</f>
        <v>370000</v>
      </c>
      <c r="J1805" s="631">
        <f>SUM(J1715:J1804)</f>
        <v>735000</v>
      </c>
      <c r="K1805" s="476" t="s">
        <v>63</v>
      </c>
      <c r="L1805" s="599"/>
    </row>
    <row r="1806" spans="1:15" ht="25.2" customHeight="1" x14ac:dyDescent="0.4">
      <c r="A1806" s="646" t="s">
        <v>18</v>
      </c>
      <c r="B1806" s="646"/>
      <c r="C1806" s="647">
        <f>C1805+D1805+E1805+F1805+I1805+J1805</f>
        <v>1363450</v>
      </c>
      <c r="D1806" s="647"/>
      <c r="E1806" s="647"/>
      <c r="F1806" s="647"/>
      <c r="G1806" s="647"/>
      <c r="H1806" s="647"/>
      <c r="I1806" s="647"/>
      <c r="J1806" s="647"/>
      <c r="K1806" s="481" t="s">
        <v>63</v>
      </c>
      <c r="L1806" s="640">
        <f>O1714</f>
        <v>1536.82</v>
      </c>
    </row>
  </sheetData>
  <dataConsolidate/>
  <mergeCells count="838">
    <mergeCell ref="M1796:M1798"/>
    <mergeCell ref="M1799:M1801"/>
    <mergeCell ref="M1802:M1804"/>
    <mergeCell ref="M1769:M1771"/>
    <mergeCell ref="M1772:M1774"/>
    <mergeCell ref="M1775:M1777"/>
    <mergeCell ref="M1778:M1780"/>
    <mergeCell ref="M1781:M1783"/>
    <mergeCell ref="M1784:M1786"/>
    <mergeCell ref="M1787:M1789"/>
    <mergeCell ref="M1790:M1792"/>
    <mergeCell ref="M1793:M1795"/>
    <mergeCell ref="A1796:A1798"/>
    <mergeCell ref="A1799:A1801"/>
    <mergeCell ref="A1802:A1804"/>
    <mergeCell ref="M1715:M1717"/>
    <mergeCell ref="M1718:M1720"/>
    <mergeCell ref="M1721:M1723"/>
    <mergeCell ref="M1724:M1726"/>
    <mergeCell ref="M1727:M1729"/>
    <mergeCell ref="M1730:M1732"/>
    <mergeCell ref="M1733:M1735"/>
    <mergeCell ref="M1736:M1738"/>
    <mergeCell ref="M1739:M1741"/>
    <mergeCell ref="M1742:M1744"/>
    <mergeCell ref="M1745:M1747"/>
    <mergeCell ref="M1748:M1750"/>
    <mergeCell ref="M1751:M1753"/>
    <mergeCell ref="M1754:M1756"/>
    <mergeCell ref="M1757:M1759"/>
    <mergeCell ref="M1760:M1762"/>
    <mergeCell ref="M1763:M1765"/>
    <mergeCell ref="M1766:M1768"/>
    <mergeCell ref="A1805:B1805"/>
    <mergeCell ref="A1806:B1806"/>
    <mergeCell ref="C1806:J1806"/>
    <mergeCell ref="A1727:A1729"/>
    <mergeCell ref="A1724:A1726"/>
    <mergeCell ref="A1718:A1720"/>
    <mergeCell ref="A1721:A1723"/>
    <mergeCell ref="A1730:A1732"/>
    <mergeCell ref="A1733:A1735"/>
    <mergeCell ref="A1736:A1738"/>
    <mergeCell ref="A1739:A1741"/>
    <mergeCell ref="A1742:A1744"/>
    <mergeCell ref="A1745:A1747"/>
    <mergeCell ref="A1748:A1750"/>
    <mergeCell ref="A1751:A1753"/>
    <mergeCell ref="A1754:A1756"/>
    <mergeCell ref="A1757:A1759"/>
    <mergeCell ref="A1760:A1762"/>
    <mergeCell ref="A1763:A1765"/>
    <mergeCell ref="A1766:A1768"/>
    <mergeCell ref="A1781:A1783"/>
    <mergeCell ref="A1769:A1771"/>
    <mergeCell ref="A1772:A1774"/>
    <mergeCell ref="A1775:A1777"/>
    <mergeCell ref="A1778:A1780"/>
    <mergeCell ref="A1784:A1786"/>
    <mergeCell ref="A1787:A1789"/>
    <mergeCell ref="A1790:A1792"/>
    <mergeCell ref="A1793:A1795"/>
    <mergeCell ref="A1715:A1717"/>
    <mergeCell ref="A1613:A1616"/>
    <mergeCell ref="A1617:B1617"/>
    <mergeCell ref="A1618:B1618"/>
    <mergeCell ref="C1618:J1618"/>
    <mergeCell ref="A1597:A1600"/>
    <mergeCell ref="A1607:A1609"/>
    <mergeCell ref="A1604:A1606"/>
    <mergeCell ref="A1601:A1603"/>
    <mergeCell ref="A1610:A1612"/>
    <mergeCell ref="A1546:B1546"/>
    <mergeCell ref="A1547:B1547"/>
    <mergeCell ref="C1547:J1547"/>
    <mergeCell ref="A1502:B1502"/>
    <mergeCell ref="C1502:J1502"/>
    <mergeCell ref="A1535:B1535"/>
    <mergeCell ref="A1536:B1536"/>
    <mergeCell ref="C1536:J1536"/>
    <mergeCell ref="A1520:A1522"/>
    <mergeCell ref="A1524:B1524"/>
    <mergeCell ref="A1525:B1525"/>
    <mergeCell ref="C1525:J1525"/>
    <mergeCell ref="A1528:A1529"/>
    <mergeCell ref="A1530:B1530"/>
    <mergeCell ref="A1531:B1531"/>
    <mergeCell ref="C1531:J1531"/>
    <mergeCell ref="A1539:A1540"/>
    <mergeCell ref="A1541:B1541"/>
    <mergeCell ref="A1542:B1542"/>
    <mergeCell ref="C1542:J1542"/>
    <mergeCell ref="A1369:B1369"/>
    <mergeCell ref="C1369:J1369"/>
    <mergeCell ref="A1146:B1146"/>
    <mergeCell ref="A1147:B1147"/>
    <mergeCell ref="C1147:J1147"/>
    <mergeCell ref="A1198:A1201"/>
    <mergeCell ref="A1229:A1232"/>
    <mergeCell ref="A1233:A1236"/>
    <mergeCell ref="A1245:A1248"/>
    <mergeCell ref="A1249:B1249"/>
    <mergeCell ref="A1250:B1250"/>
    <mergeCell ref="C1250:J1250"/>
    <mergeCell ref="A1237:A1240"/>
    <mergeCell ref="A1220:A1224"/>
    <mergeCell ref="A1225:A1228"/>
    <mergeCell ref="A1202:A1205"/>
    <mergeCell ref="A1206:A1209"/>
    <mergeCell ref="A1210:A1214"/>
    <mergeCell ref="A1160:A1163"/>
    <mergeCell ref="A1151:B1151"/>
    <mergeCell ref="A1337:A1338"/>
    <mergeCell ref="A1258:A1261"/>
    <mergeCell ref="A1262:A1265"/>
    <mergeCell ref="A1193:B1193"/>
    <mergeCell ref="C1165:J1165"/>
    <mergeCell ref="A1322:B1322"/>
    <mergeCell ref="A1323:B1323"/>
    <mergeCell ref="C1323:J1323"/>
    <mergeCell ref="A1282:A1283"/>
    <mergeCell ref="A1284:A1288"/>
    <mergeCell ref="A1289:A1293"/>
    <mergeCell ref="A1294:A1297"/>
    <mergeCell ref="A1298:B1298"/>
    <mergeCell ref="A1299:B1299"/>
    <mergeCell ref="A1176:A1179"/>
    <mergeCell ref="A1188:A1192"/>
    <mergeCell ref="A1171:B1171"/>
    <mergeCell ref="A1172:B1172"/>
    <mergeCell ref="A1277:B1277"/>
    <mergeCell ref="A1278:B1278"/>
    <mergeCell ref="A1126:B1126"/>
    <mergeCell ref="C1126:J1126"/>
    <mergeCell ref="A1131:B1131"/>
    <mergeCell ref="A1132:B1132"/>
    <mergeCell ref="C1278:J1278"/>
    <mergeCell ref="A1215:A1219"/>
    <mergeCell ref="A1241:A1244"/>
    <mergeCell ref="A1194:B1194"/>
    <mergeCell ref="C1194:J1194"/>
    <mergeCell ref="A1180:A1183"/>
    <mergeCell ref="A1184:A1187"/>
    <mergeCell ref="A1266:A1269"/>
    <mergeCell ref="A1270:B1270"/>
    <mergeCell ref="A1271:B1271"/>
    <mergeCell ref="C1271:J1271"/>
    <mergeCell ref="A1254:A1257"/>
    <mergeCell ref="C1157:J1157"/>
    <mergeCell ref="C1132:J1132"/>
    <mergeCell ref="A1152:B1152"/>
    <mergeCell ref="C1152:J1152"/>
    <mergeCell ref="A1156:B1156"/>
    <mergeCell ref="A1157:B1157"/>
    <mergeCell ref="A1164:B1164"/>
    <mergeCell ref="A1165:B1165"/>
    <mergeCell ref="A1102:B1102"/>
    <mergeCell ref="A1103:B1103"/>
    <mergeCell ref="C1103:J1103"/>
    <mergeCell ref="A1087:A1088"/>
    <mergeCell ref="A1089:B1089"/>
    <mergeCell ref="C1090:J1090"/>
    <mergeCell ref="A1093:A1094"/>
    <mergeCell ref="A1095:B1095"/>
    <mergeCell ref="A1110:A1112"/>
    <mergeCell ref="A1107:A1109"/>
    <mergeCell ref="A1084:B1084"/>
    <mergeCell ref="C1084:J1084"/>
    <mergeCell ref="A1044:A1045"/>
    <mergeCell ref="A1046:B1046"/>
    <mergeCell ref="A1047:B1047"/>
    <mergeCell ref="C1047:J1047"/>
    <mergeCell ref="A1099:A1101"/>
    <mergeCell ref="A1060:A1063"/>
    <mergeCell ref="A1068:B1068"/>
    <mergeCell ref="A1069:B1069"/>
    <mergeCell ref="C1069:J1069"/>
    <mergeCell ref="A1064:A1067"/>
    <mergeCell ref="A1073:A1075"/>
    <mergeCell ref="A1076:B1076"/>
    <mergeCell ref="A1077:B1077"/>
    <mergeCell ref="C1077:J1077"/>
    <mergeCell ref="A1096:B1096"/>
    <mergeCell ref="C1096:J1096"/>
    <mergeCell ref="A1081:A1082"/>
    <mergeCell ref="A1083:B1083"/>
    <mergeCell ref="A1090:B1090"/>
    <mergeCell ref="A819:A820"/>
    <mergeCell ref="A824:A826"/>
    <mergeCell ref="A827:B827"/>
    <mergeCell ref="A828:B828"/>
    <mergeCell ref="C828:J828"/>
    <mergeCell ref="A821:A823"/>
    <mergeCell ref="A831:A833"/>
    <mergeCell ref="A834:A835"/>
    <mergeCell ref="A848:B848"/>
    <mergeCell ref="A836:A838"/>
    <mergeCell ref="A839:A844"/>
    <mergeCell ref="A845:A847"/>
    <mergeCell ref="A894:B894"/>
    <mergeCell ref="A880:A882"/>
    <mergeCell ref="A883:A884"/>
    <mergeCell ref="A885:B885"/>
    <mergeCell ref="C960:J960"/>
    <mergeCell ref="A963:A968"/>
    <mergeCell ref="A969:B969"/>
    <mergeCell ref="A970:B970"/>
    <mergeCell ref="A1023:A1024"/>
    <mergeCell ref="A957:A958"/>
    <mergeCell ref="A959:B959"/>
    <mergeCell ref="A960:B960"/>
    <mergeCell ref="A976:A978"/>
    <mergeCell ref="A979:A981"/>
    <mergeCell ref="A982:A984"/>
    <mergeCell ref="A985:A986"/>
    <mergeCell ref="A987:A993"/>
    <mergeCell ref="A994:A996"/>
    <mergeCell ref="A997:A1001"/>
    <mergeCell ref="A1006:A1007"/>
    <mergeCell ref="A1008:B1008"/>
    <mergeCell ref="A1012:A1013"/>
    <mergeCell ref="C895:J895"/>
    <mergeCell ref="A907:B907"/>
    <mergeCell ref="C849:J849"/>
    <mergeCell ref="A853:A854"/>
    <mergeCell ref="A855:A856"/>
    <mergeCell ref="A857:A858"/>
    <mergeCell ref="A859:B859"/>
    <mergeCell ref="A860:B860"/>
    <mergeCell ref="C860:J860"/>
    <mergeCell ref="C886:J886"/>
    <mergeCell ref="A890:A893"/>
    <mergeCell ref="A864:A865"/>
    <mergeCell ref="A866:A867"/>
    <mergeCell ref="A868:B868"/>
    <mergeCell ref="A869:B869"/>
    <mergeCell ref="C869:J869"/>
    <mergeCell ref="C874:J874"/>
    <mergeCell ref="A849:B849"/>
    <mergeCell ref="A873:B873"/>
    <mergeCell ref="A874:B874"/>
    <mergeCell ref="A878:A879"/>
    <mergeCell ref="A886:B886"/>
    <mergeCell ref="A779:A782"/>
    <mergeCell ref="A783:A786"/>
    <mergeCell ref="A787:B787"/>
    <mergeCell ref="A788:B788"/>
    <mergeCell ref="C788:J788"/>
    <mergeCell ref="A794:B794"/>
    <mergeCell ref="A795:B795"/>
    <mergeCell ref="C795:J795"/>
    <mergeCell ref="A799:A801"/>
    <mergeCell ref="A804:A806"/>
    <mergeCell ref="A807:B807"/>
    <mergeCell ref="A808:B808"/>
    <mergeCell ref="C808:J808"/>
    <mergeCell ref="A802:A803"/>
    <mergeCell ref="A811:A812"/>
    <mergeCell ref="A815:B815"/>
    <mergeCell ref="A816:B816"/>
    <mergeCell ref="C816:J816"/>
    <mergeCell ref="A774:B774"/>
    <mergeCell ref="A775:B775"/>
    <mergeCell ref="A764:A765"/>
    <mergeCell ref="B764:B765"/>
    <mergeCell ref="A691:A694"/>
    <mergeCell ref="A766:B766"/>
    <mergeCell ref="A767:B767"/>
    <mergeCell ref="A754:B754"/>
    <mergeCell ref="A720:A723"/>
    <mergeCell ref="A724:A727"/>
    <mergeCell ref="A728:A731"/>
    <mergeCell ref="A732:A735"/>
    <mergeCell ref="A736:B736"/>
    <mergeCell ref="A737:B737"/>
    <mergeCell ref="A712:A715"/>
    <mergeCell ref="A707:B707"/>
    <mergeCell ref="A716:B716"/>
    <mergeCell ref="A717:B717"/>
    <mergeCell ref="A695:A698"/>
    <mergeCell ref="A699:A702"/>
    <mergeCell ref="A703:A706"/>
    <mergeCell ref="A770:A771"/>
    <mergeCell ref="B770:B771"/>
    <mergeCell ref="A772:A773"/>
    <mergeCell ref="B772:B773"/>
    <mergeCell ref="C757:J757"/>
    <mergeCell ref="C758:J758"/>
    <mergeCell ref="A749:A752"/>
    <mergeCell ref="A741:A744"/>
    <mergeCell ref="B741:B744"/>
    <mergeCell ref="B745:B746"/>
    <mergeCell ref="B749:B752"/>
    <mergeCell ref="A745:A746"/>
    <mergeCell ref="A753:B753"/>
    <mergeCell ref="A616:B616"/>
    <mergeCell ref="A684:B684"/>
    <mergeCell ref="A708:B708"/>
    <mergeCell ref="A640:B640"/>
    <mergeCell ref="A628:A630"/>
    <mergeCell ref="A631:B631"/>
    <mergeCell ref="A632:B632"/>
    <mergeCell ref="A680:A682"/>
    <mergeCell ref="A683:B683"/>
    <mergeCell ref="A672:B672"/>
    <mergeCell ref="A673:B673"/>
    <mergeCell ref="A635:A638"/>
    <mergeCell ref="A639:B639"/>
    <mergeCell ref="A508:A511"/>
    <mergeCell ref="A501:A502"/>
    <mergeCell ref="A503:B503"/>
    <mergeCell ref="A504:B504"/>
    <mergeCell ref="C504:J504"/>
    <mergeCell ref="A516:A519"/>
    <mergeCell ref="B501:B502"/>
    <mergeCell ref="D569:E569"/>
    <mergeCell ref="A591:B591"/>
    <mergeCell ref="A520:B520"/>
    <mergeCell ref="A521:B521"/>
    <mergeCell ref="C521:J521"/>
    <mergeCell ref="A580:B580"/>
    <mergeCell ref="A565:B565"/>
    <mergeCell ref="A566:B566"/>
    <mergeCell ref="C566:J566"/>
    <mergeCell ref="A548:A550"/>
    <mergeCell ref="A551:B551"/>
    <mergeCell ref="A552:B552"/>
    <mergeCell ref="A534:A537"/>
    <mergeCell ref="A559:A560"/>
    <mergeCell ref="A561:A564"/>
    <mergeCell ref="D594:E594"/>
    <mergeCell ref="F594:I594"/>
    <mergeCell ref="A595:A598"/>
    <mergeCell ref="A608:B608"/>
    <mergeCell ref="A609:B609"/>
    <mergeCell ref="C609:J609"/>
    <mergeCell ref="A602:A607"/>
    <mergeCell ref="A599:A601"/>
    <mergeCell ref="A583:A586"/>
    <mergeCell ref="A592:B592"/>
    <mergeCell ref="A587:A590"/>
    <mergeCell ref="A481:B481"/>
    <mergeCell ref="A491:A494"/>
    <mergeCell ref="A495:B495"/>
    <mergeCell ref="A496:B496"/>
    <mergeCell ref="C467:J467"/>
    <mergeCell ref="C481:J481"/>
    <mergeCell ref="A484:A486"/>
    <mergeCell ref="A487:B487"/>
    <mergeCell ref="A488:B488"/>
    <mergeCell ref="C488:J488"/>
    <mergeCell ref="A470:A473"/>
    <mergeCell ref="A474:B474"/>
    <mergeCell ref="A475:B475"/>
    <mergeCell ref="C475:J475"/>
    <mergeCell ref="C496:J496"/>
    <mergeCell ref="C375:J375"/>
    <mergeCell ref="A440:B440"/>
    <mergeCell ref="A356:B356"/>
    <mergeCell ref="A357:B357"/>
    <mergeCell ref="C357:J357"/>
    <mergeCell ref="A426:B426"/>
    <mergeCell ref="A427:B427"/>
    <mergeCell ref="C427:J427"/>
    <mergeCell ref="A417:A420"/>
    <mergeCell ref="B417:B420"/>
    <mergeCell ref="A421:B421"/>
    <mergeCell ref="A422:B422"/>
    <mergeCell ref="C422:J422"/>
    <mergeCell ref="A397:B397"/>
    <mergeCell ref="A398:B398"/>
    <mergeCell ref="C398:J398"/>
    <mergeCell ref="A401:A404"/>
    <mergeCell ref="A409:A412"/>
    <mergeCell ref="A383:B383"/>
    <mergeCell ref="A384:B384"/>
    <mergeCell ref="C384:J384"/>
    <mergeCell ref="A374:B374"/>
    <mergeCell ref="A375:B375"/>
    <mergeCell ref="A379:A382"/>
    <mergeCell ref="A180:B180"/>
    <mergeCell ref="A181:B181"/>
    <mergeCell ref="A458:A459"/>
    <mergeCell ref="A435:A438"/>
    <mergeCell ref="A439:B439"/>
    <mergeCell ref="A340:A341"/>
    <mergeCell ref="A324:B324"/>
    <mergeCell ref="A325:B325"/>
    <mergeCell ref="A430:A434"/>
    <mergeCell ref="A211:B211"/>
    <mergeCell ref="A185:B185"/>
    <mergeCell ref="A239:B239"/>
    <mergeCell ref="A240:B240"/>
    <mergeCell ref="A413:B413"/>
    <mergeCell ref="A414:B414"/>
    <mergeCell ref="C414:J414"/>
    <mergeCell ref="A405:A408"/>
    <mergeCell ref="B401:B404"/>
    <mergeCell ref="B405:B408"/>
    <mergeCell ref="B409:B412"/>
    <mergeCell ref="A393:A396"/>
    <mergeCell ref="A387:A392"/>
    <mergeCell ref="A176:B176"/>
    <mergeCell ref="A110:B110"/>
    <mergeCell ref="A111:B111"/>
    <mergeCell ref="E111:J111"/>
    <mergeCell ref="A116:B116"/>
    <mergeCell ref="A117:B117"/>
    <mergeCell ref="E117:J117"/>
    <mergeCell ref="A175:B175"/>
    <mergeCell ref="A125:B125"/>
    <mergeCell ref="E125:J125"/>
    <mergeCell ref="A126:B126"/>
    <mergeCell ref="E126:J126"/>
    <mergeCell ref="A136:B136"/>
    <mergeCell ref="A143:B143"/>
    <mergeCell ref="E143:J143"/>
    <mergeCell ref="A144:B144"/>
    <mergeCell ref="E144:J144"/>
    <mergeCell ref="A168:B168"/>
    <mergeCell ref="E181:J181"/>
    <mergeCell ref="A231:B231"/>
    <mergeCell ref="A278:B278"/>
    <mergeCell ref="A279:B279"/>
    <mergeCell ref="A169:B169"/>
    <mergeCell ref="E169:J169"/>
    <mergeCell ref="A157:B157"/>
    <mergeCell ref="A158:B158"/>
    <mergeCell ref="E158:J158"/>
    <mergeCell ref="E176:J176"/>
    <mergeCell ref="A232:B232"/>
    <mergeCell ref="A212:B212"/>
    <mergeCell ref="E212:J212"/>
    <mergeCell ref="A221:B221"/>
    <mergeCell ref="A222:B222"/>
    <mergeCell ref="E222:J222"/>
    <mergeCell ref="E207:J207"/>
    <mergeCell ref="A196:B196"/>
    <mergeCell ref="A186:B186"/>
    <mergeCell ref="E186:J186"/>
    <mergeCell ref="E232:J232"/>
    <mergeCell ref="A216:B216"/>
    <mergeCell ref="A217:B217"/>
    <mergeCell ref="E68:J68"/>
    <mergeCell ref="A77:B77"/>
    <mergeCell ref="B55:B56"/>
    <mergeCell ref="A57:A58"/>
    <mergeCell ref="B57:B58"/>
    <mergeCell ref="A59:A60"/>
    <mergeCell ref="B59:B60"/>
    <mergeCell ref="A61:A62"/>
    <mergeCell ref="B61:B62"/>
    <mergeCell ref="B49:B50"/>
    <mergeCell ref="A71:A73"/>
    <mergeCell ref="B71:B73"/>
    <mergeCell ref="A67:B67"/>
    <mergeCell ref="A51:A52"/>
    <mergeCell ref="B51:B52"/>
    <mergeCell ref="A63:A66"/>
    <mergeCell ref="B63:B66"/>
    <mergeCell ref="A53:A54"/>
    <mergeCell ref="B53:B54"/>
    <mergeCell ref="A55:A56"/>
    <mergeCell ref="A2:A4"/>
    <mergeCell ref="A5:A6"/>
    <mergeCell ref="A7:A8"/>
    <mergeCell ref="A9:A10"/>
    <mergeCell ref="A11:A12"/>
    <mergeCell ref="B2:B4"/>
    <mergeCell ref="B5:B6"/>
    <mergeCell ref="B7:B8"/>
    <mergeCell ref="B9:B10"/>
    <mergeCell ref="B11:B12"/>
    <mergeCell ref="A21:A22"/>
    <mergeCell ref="A23:A25"/>
    <mergeCell ref="E27:J27"/>
    <mergeCell ref="E43:J43"/>
    <mergeCell ref="A42:B42"/>
    <mergeCell ref="B13:B14"/>
    <mergeCell ref="B15:B16"/>
    <mergeCell ref="B17:B18"/>
    <mergeCell ref="B19:B20"/>
    <mergeCell ref="B21:B22"/>
    <mergeCell ref="B23:B25"/>
    <mergeCell ref="A15:A16"/>
    <mergeCell ref="A17:A18"/>
    <mergeCell ref="A19:A20"/>
    <mergeCell ref="A38:A41"/>
    <mergeCell ref="B38:B41"/>
    <mergeCell ref="A30:A33"/>
    <mergeCell ref="B30:B33"/>
    <mergeCell ref="A34:A35"/>
    <mergeCell ref="B34:B35"/>
    <mergeCell ref="A36:A37"/>
    <mergeCell ref="B36:B37"/>
    <mergeCell ref="A26:B26"/>
    <mergeCell ref="A13:A14"/>
    <mergeCell ref="A27:B27"/>
    <mergeCell ref="A43:B43"/>
    <mergeCell ref="A78:B78"/>
    <mergeCell ref="E78:J78"/>
    <mergeCell ref="A74:A76"/>
    <mergeCell ref="B74:B76"/>
    <mergeCell ref="A142:B142"/>
    <mergeCell ref="A124:B124"/>
    <mergeCell ref="A137:B137"/>
    <mergeCell ref="E137:J137"/>
    <mergeCell ref="A138:B138"/>
    <mergeCell ref="E138:J138"/>
    <mergeCell ref="A118:B118"/>
    <mergeCell ref="E118:J118"/>
    <mergeCell ref="A91:B91"/>
    <mergeCell ref="A92:B92"/>
    <mergeCell ref="E92:J92"/>
    <mergeCell ref="A84:B84"/>
    <mergeCell ref="E84:J84"/>
    <mergeCell ref="A83:B83"/>
    <mergeCell ref="A68:B68"/>
    <mergeCell ref="A46:A48"/>
    <mergeCell ref="B46:B48"/>
    <mergeCell ref="A49:A50"/>
    <mergeCell ref="E240:J240"/>
    <mergeCell ref="A206:B206"/>
    <mergeCell ref="A207:B207"/>
    <mergeCell ref="A267:B267"/>
    <mergeCell ref="A299:A302"/>
    <mergeCell ref="A268:B268"/>
    <mergeCell ref="E268:J268"/>
    <mergeCell ref="A244:B244"/>
    <mergeCell ref="A245:B245"/>
    <mergeCell ref="E245:J245"/>
    <mergeCell ref="A253:B253"/>
    <mergeCell ref="A254:B254"/>
    <mergeCell ref="E254:J254"/>
    <mergeCell ref="A259:B259"/>
    <mergeCell ref="A284:B284"/>
    <mergeCell ref="E284:J284"/>
    <mergeCell ref="E279:J279"/>
    <mergeCell ref="A273:B273"/>
    <mergeCell ref="A274:B274"/>
    <mergeCell ref="E274:J274"/>
    <mergeCell ref="A260:B260"/>
    <mergeCell ref="E260:J260"/>
    <mergeCell ref="A283:B283"/>
    <mergeCell ref="E217:J217"/>
    <mergeCell ref="C314:J314"/>
    <mergeCell ref="A295:B295"/>
    <mergeCell ref="A296:B296"/>
    <mergeCell ref="E296:J296"/>
    <mergeCell ref="A368:A371"/>
    <mergeCell ref="A328:A331"/>
    <mergeCell ref="A343:B343"/>
    <mergeCell ref="A344:B344"/>
    <mergeCell ref="C344:J344"/>
    <mergeCell ref="A332:A335"/>
    <mergeCell ref="A309:A311"/>
    <mergeCell ref="A313:B313"/>
    <mergeCell ref="A314:B314"/>
    <mergeCell ref="C325:J325"/>
    <mergeCell ref="A320:A322"/>
    <mergeCell ref="A352:A354"/>
    <mergeCell ref="A364:A367"/>
    <mergeCell ref="C440:J440"/>
    <mergeCell ref="A460:B460"/>
    <mergeCell ref="A461:B461"/>
    <mergeCell ref="C461:J461"/>
    <mergeCell ref="A449:B449"/>
    <mergeCell ref="A450:B450"/>
    <mergeCell ref="C450:J450"/>
    <mergeCell ref="A444:B444"/>
    <mergeCell ref="A445:B445"/>
    <mergeCell ref="C445:J445"/>
    <mergeCell ref="A454:B454"/>
    <mergeCell ref="A455:B455"/>
    <mergeCell ref="C455:J455"/>
    <mergeCell ref="A464:A465"/>
    <mergeCell ref="A466:B466"/>
    <mergeCell ref="A467:B467"/>
    <mergeCell ref="A478:A479"/>
    <mergeCell ref="A480:B480"/>
    <mergeCell ref="A570:A574"/>
    <mergeCell ref="A575:A578"/>
    <mergeCell ref="A579:B579"/>
    <mergeCell ref="C632:J632"/>
    <mergeCell ref="D582:E582"/>
    <mergeCell ref="F582:I582"/>
    <mergeCell ref="A512:A515"/>
    <mergeCell ref="C552:J552"/>
    <mergeCell ref="A555:A558"/>
    <mergeCell ref="C592:J592"/>
    <mergeCell ref="A613:A615"/>
    <mergeCell ref="C580:J580"/>
    <mergeCell ref="F569:I569"/>
    <mergeCell ref="A527:A530"/>
    <mergeCell ref="A531:A533"/>
    <mergeCell ref="A538:A541"/>
    <mergeCell ref="A542:B542"/>
    <mergeCell ref="A543:B543"/>
    <mergeCell ref="C543:J543"/>
    <mergeCell ref="C673:J673"/>
    <mergeCell ref="A658:A661"/>
    <mergeCell ref="A667:A671"/>
    <mergeCell ref="A662:A666"/>
    <mergeCell ref="A677:A678"/>
    <mergeCell ref="A651:A652"/>
    <mergeCell ref="A617:B617"/>
    <mergeCell ref="C617:J617"/>
    <mergeCell ref="A813:A814"/>
    <mergeCell ref="A653:B653"/>
    <mergeCell ref="A654:B654"/>
    <mergeCell ref="A643:A646"/>
    <mergeCell ref="A647:B647"/>
    <mergeCell ref="A648:B648"/>
    <mergeCell ref="C759:J759"/>
    <mergeCell ref="C760:J760"/>
    <mergeCell ref="A760:B760"/>
    <mergeCell ref="A759:B759"/>
    <mergeCell ref="C654:J654"/>
    <mergeCell ref="C648:J648"/>
    <mergeCell ref="C684:J684"/>
    <mergeCell ref="C640:J640"/>
    <mergeCell ref="C708:J708"/>
    <mergeCell ref="C756:J756"/>
    <mergeCell ref="C907:J907"/>
    <mergeCell ref="A911:A915"/>
    <mergeCell ref="A916:A919"/>
    <mergeCell ref="A895:B895"/>
    <mergeCell ref="A954:B954"/>
    <mergeCell ref="A943:A952"/>
    <mergeCell ref="C933:J933"/>
    <mergeCell ref="A920:A923"/>
    <mergeCell ref="A924:A927"/>
    <mergeCell ref="A936:A938"/>
    <mergeCell ref="C954:J954"/>
    <mergeCell ref="C940:J940"/>
    <mergeCell ref="A928:A931"/>
    <mergeCell ref="A953:B953"/>
    <mergeCell ref="A939:B939"/>
    <mergeCell ref="A940:B940"/>
    <mergeCell ref="A899:A900"/>
    <mergeCell ref="A901:A903"/>
    <mergeCell ref="A904:A905"/>
    <mergeCell ref="A906:B906"/>
    <mergeCell ref="A932:B932"/>
    <mergeCell ref="A933:B933"/>
    <mergeCell ref="C970:J970"/>
    <mergeCell ref="A1037:A1038"/>
    <mergeCell ref="A1019:B1019"/>
    <mergeCell ref="C1019:J1019"/>
    <mergeCell ref="A973:A975"/>
    <mergeCell ref="A1014:A1017"/>
    <mergeCell ref="A1035:A1036"/>
    <mergeCell ref="A1055:B1055"/>
    <mergeCell ref="A1056:B1056"/>
    <mergeCell ref="A1018:B1018"/>
    <mergeCell ref="A1009:B1009"/>
    <mergeCell ref="C1009:J1009"/>
    <mergeCell ref="A1002:B1002"/>
    <mergeCell ref="A1003:B1003"/>
    <mergeCell ref="C1003:J1003"/>
    <mergeCell ref="A1051:A1054"/>
    <mergeCell ref="A1027:A1028"/>
    <mergeCell ref="A1029:B1029"/>
    <mergeCell ref="A1030:B1030"/>
    <mergeCell ref="C1056:J1056"/>
    <mergeCell ref="C1030:J1030"/>
    <mergeCell ref="A1039:B1039"/>
    <mergeCell ref="A1040:B1040"/>
    <mergeCell ref="C1040:J1040"/>
    <mergeCell ref="A1114:B1114"/>
    <mergeCell ref="C1121:J1121"/>
    <mergeCell ref="C1114:J1114"/>
    <mergeCell ref="A1113:B1113"/>
    <mergeCell ref="C1299:J1299"/>
    <mergeCell ref="A1310:A1315"/>
    <mergeCell ref="A1316:B1316"/>
    <mergeCell ref="A1317:B1317"/>
    <mergeCell ref="C1317:J1317"/>
    <mergeCell ref="A1302:A1305"/>
    <mergeCell ref="A1306:B1306"/>
    <mergeCell ref="A1307:B1307"/>
    <mergeCell ref="C1307:J1307"/>
    <mergeCell ref="C1172:J1172"/>
    <mergeCell ref="A1136:B1136"/>
    <mergeCell ref="A1137:B1137"/>
    <mergeCell ref="C1137:J1137"/>
    <mergeCell ref="A1120:B1120"/>
    <mergeCell ref="A1121:B1121"/>
    <mergeCell ref="A1141:B1141"/>
    <mergeCell ref="A1142:B1142"/>
    <mergeCell ref="C1142:J1142"/>
    <mergeCell ref="A1125:B1125"/>
    <mergeCell ref="A1275:A1276"/>
    <mergeCell ref="A1390:A1392"/>
    <mergeCell ref="A1393:B1393"/>
    <mergeCell ref="A1394:B1394"/>
    <mergeCell ref="C1394:J1394"/>
    <mergeCell ref="A1320:A1321"/>
    <mergeCell ref="A1362:B1362"/>
    <mergeCell ref="C1362:J1362"/>
    <mergeCell ref="A1352:A1353"/>
    <mergeCell ref="A1354:B1354"/>
    <mergeCell ref="A1355:B1355"/>
    <mergeCell ref="C1355:J1355"/>
    <mergeCell ref="A1359:A1360"/>
    <mergeCell ref="A1361:B1361"/>
    <mergeCell ref="A1328:A1331"/>
    <mergeCell ref="A1332:B1332"/>
    <mergeCell ref="A1333:B1333"/>
    <mergeCell ref="C1333:J1333"/>
    <mergeCell ref="A1347:B1347"/>
    <mergeCell ref="A1348:B1348"/>
    <mergeCell ref="C1348:J1348"/>
    <mergeCell ref="A1343:A1346"/>
    <mergeCell ref="A1339:A1342"/>
    <mergeCell ref="A1366:A1367"/>
    <mergeCell ref="A1368:B1368"/>
    <mergeCell ref="A1385:B1385"/>
    <mergeCell ref="A1386:B1386"/>
    <mergeCell ref="C1386:J1386"/>
    <mergeCell ref="A1372:A1373"/>
    <mergeCell ref="A1378:B1378"/>
    <mergeCell ref="A1379:B1379"/>
    <mergeCell ref="C1379:J1379"/>
    <mergeCell ref="A1375:A1376"/>
    <mergeCell ref="A1382:A1384"/>
    <mergeCell ref="A1409:A1411"/>
    <mergeCell ref="A1397:A1398"/>
    <mergeCell ref="A1399:B1399"/>
    <mergeCell ref="A1400:B1400"/>
    <mergeCell ref="C1400:J1400"/>
    <mergeCell ref="A1403:A1404"/>
    <mergeCell ref="A1405:B1405"/>
    <mergeCell ref="A1406:B1406"/>
    <mergeCell ref="C1406:J1406"/>
    <mergeCell ref="A1412:A1414"/>
    <mergeCell ref="A1415:B1415"/>
    <mergeCell ref="A1416:B1416"/>
    <mergeCell ref="C1416:J1416"/>
    <mergeCell ref="A1419:A1425"/>
    <mergeCell ref="A1426:B1426"/>
    <mergeCell ref="A1427:B1427"/>
    <mergeCell ref="C1427:J1427"/>
    <mergeCell ref="A1434:A1435"/>
    <mergeCell ref="A1470:A1472"/>
    <mergeCell ref="A1473:B1473"/>
    <mergeCell ref="A1474:B1474"/>
    <mergeCell ref="C1474:J1474"/>
    <mergeCell ref="A1430:A1433"/>
    <mergeCell ref="A1436:A1437"/>
    <mergeCell ref="A1438:B1438"/>
    <mergeCell ref="A1439:B1439"/>
    <mergeCell ref="C1439:J1439"/>
    <mergeCell ref="A1442:A1444"/>
    <mergeCell ref="A1445:A1448"/>
    <mergeCell ref="A1461:A1463"/>
    <mergeCell ref="A1464:B1464"/>
    <mergeCell ref="A1465:B1465"/>
    <mergeCell ref="C1465:J1465"/>
    <mergeCell ref="A1453:A1455"/>
    <mergeCell ref="A1456:A1458"/>
    <mergeCell ref="A1449:A1450"/>
    <mergeCell ref="A1478:A1480"/>
    <mergeCell ref="A1481:B1481"/>
    <mergeCell ref="A1482:B1482"/>
    <mergeCell ref="C1482:J1482"/>
    <mergeCell ref="A1516:B1516"/>
    <mergeCell ref="A1517:B1517"/>
    <mergeCell ref="C1517:J1517"/>
    <mergeCell ref="A1512:A1513"/>
    <mergeCell ref="A1514:A1515"/>
    <mergeCell ref="A1485:A1487"/>
    <mergeCell ref="A1488:B1488"/>
    <mergeCell ref="A1489:B1489"/>
    <mergeCell ref="C1489:J1489"/>
    <mergeCell ref="A1505:A1507"/>
    <mergeCell ref="A1508:B1508"/>
    <mergeCell ref="A1509:B1509"/>
    <mergeCell ref="C1509:J1509"/>
    <mergeCell ref="A1493:A1495"/>
    <mergeCell ref="A1498:A1500"/>
    <mergeCell ref="A1501:B1501"/>
    <mergeCell ref="A1571:A1578"/>
    <mergeCell ref="A1550:A1551"/>
    <mergeCell ref="A1552:B1552"/>
    <mergeCell ref="A1553:B1553"/>
    <mergeCell ref="C1553:J1553"/>
    <mergeCell ref="A1556:A1557"/>
    <mergeCell ref="A1558:B1558"/>
    <mergeCell ref="A1559:B1559"/>
    <mergeCell ref="C1559:J1559"/>
    <mergeCell ref="A1566:B1566"/>
    <mergeCell ref="A1567:B1567"/>
    <mergeCell ref="C1567:J1567"/>
    <mergeCell ref="A1563:A1564"/>
    <mergeCell ref="A1585:B1585"/>
    <mergeCell ref="A1586:B1586"/>
    <mergeCell ref="C1586:J1586"/>
    <mergeCell ref="A1590:A1591"/>
    <mergeCell ref="A1592:B1592"/>
    <mergeCell ref="A1593:B1593"/>
    <mergeCell ref="C1593:J1593"/>
    <mergeCell ref="A1579:B1579"/>
    <mergeCell ref="A1580:B1580"/>
    <mergeCell ref="C1580:J1580"/>
    <mergeCell ref="A1621:A1624"/>
    <mergeCell ref="A1625:A1626"/>
    <mergeCell ref="A1631:A1632"/>
    <mergeCell ref="A1633:A1634"/>
    <mergeCell ref="A1707:A1710"/>
    <mergeCell ref="A1711:B1711"/>
    <mergeCell ref="A1712:B1712"/>
    <mergeCell ref="C1712:J1712"/>
    <mergeCell ref="A1627:A1628"/>
    <mergeCell ref="A1629:A1630"/>
    <mergeCell ref="A1635:A1638"/>
    <mergeCell ref="A1639:A1642"/>
    <mergeCell ref="A1643:A1644"/>
    <mergeCell ref="A1645:A1646"/>
    <mergeCell ref="A1647:A1648"/>
    <mergeCell ref="A1649:A1651"/>
    <mergeCell ref="A1652:A1654"/>
    <mergeCell ref="A1655:A1657"/>
    <mergeCell ref="A1658:A1660"/>
    <mergeCell ref="A1661:A1663"/>
    <mergeCell ref="A1664:A1666"/>
    <mergeCell ref="A1691:A1694"/>
    <mergeCell ref="A1695:A1697"/>
    <mergeCell ref="A1698:A1700"/>
    <mergeCell ref="A1701:A1703"/>
    <mergeCell ref="A1704:A1706"/>
    <mergeCell ref="A1667:A1670"/>
    <mergeCell ref="A1671:A1674"/>
    <mergeCell ref="A1675:A1677"/>
    <mergeCell ref="A1678:A1680"/>
    <mergeCell ref="A1681:A1683"/>
    <mergeCell ref="A1684:A1686"/>
    <mergeCell ref="A1687:A1690"/>
  </mergeCells>
  <phoneticPr fontId="2" type="noConversion"/>
  <pageMargins left="0.7" right="0.7" top="0.75" bottom="0.75" header="0.3" footer="0.3"/>
  <pageSetup paperSize="9" orientation="portrait" r:id="rId1"/>
  <ignoredErrors>
    <ignoredError sqref="F168 F175 F278" formula="1"/>
    <ignoredError sqref="F1001:F1002 C100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53"/>
  <sheetViews>
    <sheetView topLeftCell="A34" workbookViewId="0">
      <selection activeCell="I48" sqref="I48"/>
    </sheetView>
  </sheetViews>
  <sheetFormatPr defaultColWidth="8.69921875" defaultRowHeight="17.399999999999999" x14ac:dyDescent="0.4"/>
  <cols>
    <col min="1" max="2" width="13.19921875" style="1" customWidth="1"/>
    <col min="3" max="6" width="8.69921875" style="1" customWidth="1"/>
    <col min="7" max="7" width="36.3984375" style="1" customWidth="1"/>
    <col min="8" max="16384" width="8.69921875" style="1"/>
  </cols>
  <sheetData>
    <row r="4" spans="1:6" x14ac:dyDescent="0.4">
      <c r="A4" s="6" t="s">
        <v>447</v>
      </c>
      <c r="B4" s="6" t="s">
        <v>448</v>
      </c>
      <c r="C4" s="6" t="s">
        <v>449</v>
      </c>
      <c r="D4" s="6" t="s">
        <v>450</v>
      </c>
      <c r="E4" s="6" t="s">
        <v>451</v>
      </c>
      <c r="F4" s="6" t="s">
        <v>452</v>
      </c>
    </row>
    <row r="5" spans="1:6" x14ac:dyDescent="0.4">
      <c r="A5" s="648">
        <v>45085</v>
      </c>
      <c r="B5" s="400" t="s">
        <v>453</v>
      </c>
      <c r="C5" s="386">
        <v>1800</v>
      </c>
      <c r="D5" s="386"/>
      <c r="E5" s="352" t="s">
        <v>454</v>
      </c>
      <c r="F5" s="398" t="s">
        <v>455</v>
      </c>
    </row>
    <row r="6" spans="1:6" x14ac:dyDescent="0.4">
      <c r="A6" s="661"/>
      <c r="B6" s="400" t="s">
        <v>453</v>
      </c>
      <c r="C6" s="386">
        <v>1600</v>
      </c>
      <c r="D6" s="386"/>
      <c r="E6" s="352" t="s">
        <v>454</v>
      </c>
      <c r="F6" s="398" t="s">
        <v>456</v>
      </c>
    </row>
    <row r="7" spans="1:6" x14ac:dyDescent="0.4">
      <c r="A7" s="661"/>
      <c r="B7" s="400" t="s">
        <v>453</v>
      </c>
      <c r="C7" s="386">
        <v>8600</v>
      </c>
      <c r="D7" s="386"/>
      <c r="E7" s="352" t="s">
        <v>457</v>
      </c>
      <c r="F7" s="398" t="s">
        <v>458</v>
      </c>
    </row>
    <row r="8" spans="1:6" x14ac:dyDescent="0.4">
      <c r="A8" s="649"/>
      <c r="B8" s="400" t="s">
        <v>453</v>
      </c>
      <c r="C8" s="386"/>
      <c r="D8" s="407">
        <v>8995.3722222222223</v>
      </c>
      <c r="E8" s="352" t="s">
        <v>466</v>
      </c>
      <c r="F8" s="398" t="s">
        <v>463</v>
      </c>
    </row>
    <row r="9" spans="1:6" x14ac:dyDescent="0.4">
      <c r="A9" s="648">
        <v>45092</v>
      </c>
      <c r="B9" s="400" t="s">
        <v>390</v>
      </c>
      <c r="C9" s="386">
        <v>1800</v>
      </c>
      <c r="D9" s="386"/>
      <c r="E9" s="352" t="s">
        <v>454</v>
      </c>
      <c r="F9" s="398" t="s">
        <v>246</v>
      </c>
    </row>
    <row r="10" spans="1:6" x14ac:dyDescent="0.4">
      <c r="A10" s="661"/>
      <c r="B10" s="400" t="s">
        <v>390</v>
      </c>
      <c r="C10" s="386">
        <v>1600</v>
      </c>
      <c r="D10" s="386"/>
      <c r="E10" s="352" t="s">
        <v>61</v>
      </c>
      <c r="F10" s="398" t="s">
        <v>456</v>
      </c>
    </row>
    <row r="11" spans="1:6" x14ac:dyDescent="0.4">
      <c r="A11" s="661"/>
      <c r="B11" s="400" t="s">
        <v>453</v>
      </c>
      <c r="C11" s="386">
        <v>4600</v>
      </c>
      <c r="D11" s="386"/>
      <c r="E11" s="352" t="s">
        <v>64</v>
      </c>
      <c r="F11" s="398" t="s">
        <v>458</v>
      </c>
    </row>
    <row r="12" spans="1:6" x14ac:dyDescent="0.4">
      <c r="A12" s="649"/>
      <c r="B12" s="400" t="s">
        <v>390</v>
      </c>
      <c r="C12" s="386"/>
      <c r="D12" s="407">
        <v>8995.3722222222223</v>
      </c>
      <c r="E12" s="352" t="s">
        <v>465</v>
      </c>
      <c r="F12" s="398" t="s">
        <v>463</v>
      </c>
    </row>
    <row r="13" spans="1:6" x14ac:dyDescent="0.4">
      <c r="A13" s="662" t="s">
        <v>459</v>
      </c>
      <c r="B13" s="662"/>
      <c r="C13" s="386">
        <v>20000</v>
      </c>
      <c r="D13" s="386">
        <v>17990</v>
      </c>
      <c r="E13" s="352" t="s">
        <v>460</v>
      </c>
      <c r="F13" s="398" t="s">
        <v>461</v>
      </c>
    </row>
    <row r="14" spans="1:6" ht="19.2" x14ac:dyDescent="0.4">
      <c r="A14" s="659" t="s">
        <v>462</v>
      </c>
      <c r="B14" s="659"/>
      <c r="C14" s="724">
        <v>37990</v>
      </c>
      <c r="D14" s="724"/>
      <c r="E14" s="401" t="s">
        <v>465</v>
      </c>
      <c r="F14" s="399" t="s">
        <v>464</v>
      </c>
    </row>
    <row r="16" spans="1:6" x14ac:dyDescent="0.4">
      <c r="A16" s="6" t="s">
        <v>0</v>
      </c>
      <c r="B16" s="6" t="s">
        <v>1</v>
      </c>
      <c r="C16" s="6" t="s">
        <v>468</v>
      </c>
      <c r="D16" s="6" t="s">
        <v>60</v>
      </c>
      <c r="E16" s="6" t="s">
        <v>8</v>
      </c>
    </row>
    <row r="17" spans="1:7" x14ac:dyDescent="0.4">
      <c r="A17" s="404">
        <v>45119</v>
      </c>
      <c r="B17" s="403" t="s">
        <v>390</v>
      </c>
      <c r="C17" s="360">
        <v>27500</v>
      </c>
      <c r="D17" s="352" t="s">
        <v>467</v>
      </c>
      <c r="E17" s="405" t="s">
        <v>184</v>
      </c>
    </row>
    <row r="18" spans="1:7" x14ac:dyDescent="0.4">
      <c r="A18" s="662" t="s">
        <v>17</v>
      </c>
      <c r="B18" s="662"/>
      <c r="C18" s="360">
        <f>SUM(C17:C17)</f>
        <v>27500</v>
      </c>
      <c r="D18" s="352" t="s">
        <v>271</v>
      </c>
      <c r="E18" s="405" t="s">
        <v>271</v>
      </c>
    </row>
    <row r="19" spans="1:7" ht="19.2" x14ac:dyDescent="0.4">
      <c r="A19" s="659" t="s">
        <v>18</v>
      </c>
      <c r="B19" s="659"/>
      <c r="C19" s="383">
        <f>C18</f>
        <v>27500</v>
      </c>
      <c r="D19" s="406"/>
      <c r="E19" s="402"/>
    </row>
    <row r="22" spans="1:7" x14ac:dyDescent="0.4">
      <c r="A22" s="6" t="s">
        <v>0</v>
      </c>
      <c r="B22" s="6" t="s">
        <v>1</v>
      </c>
      <c r="C22" s="6" t="s">
        <v>74</v>
      </c>
      <c r="D22" s="6" t="s">
        <v>3</v>
      </c>
      <c r="E22" s="6" t="s">
        <v>471</v>
      </c>
      <c r="F22" s="6" t="s">
        <v>60</v>
      </c>
      <c r="G22" s="6" t="s">
        <v>8</v>
      </c>
    </row>
    <row r="23" spans="1:7" x14ac:dyDescent="0.4">
      <c r="A23" s="648">
        <v>45128</v>
      </c>
      <c r="B23" s="410" t="s">
        <v>390</v>
      </c>
      <c r="C23" s="360">
        <v>3600</v>
      </c>
      <c r="D23" s="360"/>
      <c r="E23" s="360"/>
      <c r="F23" s="352" t="s">
        <v>61</v>
      </c>
      <c r="G23" s="408" t="s">
        <v>469</v>
      </c>
    </row>
    <row r="24" spans="1:7" x14ac:dyDescent="0.4">
      <c r="A24" s="661"/>
      <c r="B24" s="410" t="s">
        <v>390</v>
      </c>
      <c r="C24" s="360">
        <v>8600</v>
      </c>
      <c r="D24" s="360"/>
      <c r="E24" s="360"/>
      <c r="F24" s="352" t="s">
        <v>62</v>
      </c>
      <c r="G24" s="408" t="s">
        <v>296</v>
      </c>
    </row>
    <row r="25" spans="1:7" x14ac:dyDescent="0.4">
      <c r="A25" s="649"/>
      <c r="B25" s="410" t="s">
        <v>390</v>
      </c>
      <c r="C25" s="360"/>
      <c r="D25" s="382">
        <f>Sheet1!F801</f>
        <v>8521.8222222222212</v>
      </c>
      <c r="E25" s="360"/>
      <c r="F25" s="352" t="s">
        <v>478</v>
      </c>
      <c r="G25" s="408" t="s">
        <v>475</v>
      </c>
    </row>
    <row r="26" spans="1:7" x14ac:dyDescent="0.4">
      <c r="A26" s="648">
        <v>45133</v>
      </c>
      <c r="B26" s="410" t="s">
        <v>390</v>
      </c>
      <c r="C26" s="360">
        <v>2700</v>
      </c>
      <c r="D26" s="360"/>
      <c r="E26" s="360"/>
      <c r="F26" s="352" t="s">
        <v>476</v>
      </c>
      <c r="G26" s="408" t="s">
        <v>470</v>
      </c>
    </row>
    <row r="27" spans="1:7" x14ac:dyDescent="0.4">
      <c r="A27" s="649"/>
      <c r="B27" s="410" t="s">
        <v>390</v>
      </c>
      <c r="C27" s="360"/>
      <c r="D27" s="382">
        <f>Sheet1!F803</f>
        <v>10226.186666666668</v>
      </c>
      <c r="E27" s="360"/>
      <c r="F27" s="352" t="s">
        <v>479</v>
      </c>
      <c r="G27" s="408" t="s">
        <v>475</v>
      </c>
    </row>
    <row r="28" spans="1:7" x14ac:dyDescent="0.4">
      <c r="A28" s="648">
        <v>45135</v>
      </c>
      <c r="B28" s="410" t="s">
        <v>390</v>
      </c>
      <c r="C28" s="360">
        <v>3800</v>
      </c>
      <c r="D28" s="360"/>
      <c r="E28" s="360"/>
      <c r="F28" s="352" t="s">
        <v>85</v>
      </c>
      <c r="G28" s="408" t="s">
        <v>296</v>
      </c>
    </row>
    <row r="29" spans="1:7" x14ac:dyDescent="0.4">
      <c r="A29" s="661"/>
      <c r="B29" s="410" t="s">
        <v>390</v>
      </c>
      <c r="C29" s="360"/>
      <c r="D29" s="360"/>
      <c r="E29" s="360">
        <v>6710</v>
      </c>
      <c r="F29" s="352" t="s">
        <v>477</v>
      </c>
      <c r="G29" s="408" t="s">
        <v>472</v>
      </c>
    </row>
    <row r="30" spans="1:7" x14ac:dyDescent="0.4">
      <c r="A30" s="649"/>
      <c r="B30" s="410" t="s">
        <v>390</v>
      </c>
      <c r="C30" s="360"/>
      <c r="D30" s="382">
        <f>Sheet1!F806</f>
        <v>8521.8222222222212</v>
      </c>
      <c r="E30" s="360"/>
      <c r="F30" s="352" t="s">
        <v>479</v>
      </c>
      <c r="G30" s="408" t="s">
        <v>474</v>
      </c>
    </row>
    <row r="31" spans="1:7" x14ac:dyDescent="0.4">
      <c r="A31" s="662" t="s">
        <v>17</v>
      </c>
      <c r="B31" s="662"/>
      <c r="C31" s="360">
        <f>SUM(C23:C30)</f>
        <v>18700</v>
      </c>
      <c r="D31" s="360">
        <f>ROUNDDOWN(SUM(D23:D30),0)</f>
        <v>27269</v>
      </c>
      <c r="E31" s="360">
        <f>SUM(E23:E30)</f>
        <v>6710</v>
      </c>
      <c r="F31" s="352" t="s">
        <v>271</v>
      </c>
      <c r="G31" s="408" t="s">
        <v>473</v>
      </c>
    </row>
    <row r="32" spans="1:7" ht="19.2" x14ac:dyDescent="0.4">
      <c r="A32" s="659" t="s">
        <v>18</v>
      </c>
      <c r="B32" s="659"/>
      <c r="C32" s="383"/>
      <c r="D32" s="383"/>
      <c r="E32" s="383">
        <f>C31+D31+E31</f>
        <v>52679</v>
      </c>
      <c r="F32" s="411"/>
      <c r="G32" s="409"/>
    </row>
    <row r="34" spans="1:12" x14ac:dyDescent="0.4">
      <c r="A34" s="6" t="s">
        <v>0</v>
      </c>
      <c r="B34" s="6" t="s">
        <v>1</v>
      </c>
      <c r="C34" s="6" t="s">
        <v>4</v>
      </c>
      <c r="D34" s="6" t="s">
        <v>287</v>
      </c>
      <c r="E34" s="6" t="s">
        <v>74</v>
      </c>
      <c r="F34" s="6" t="s">
        <v>3</v>
      </c>
      <c r="G34" s="6" t="s">
        <v>4</v>
      </c>
      <c r="H34" s="6" t="s">
        <v>5</v>
      </c>
      <c r="I34" s="6" t="s">
        <v>471</v>
      </c>
      <c r="J34" s="6" t="s">
        <v>7</v>
      </c>
      <c r="K34" s="6" t="s">
        <v>60</v>
      </c>
      <c r="L34" s="6" t="s">
        <v>8</v>
      </c>
    </row>
    <row r="35" spans="1:12" x14ac:dyDescent="0.4">
      <c r="A35" s="648">
        <v>45139</v>
      </c>
      <c r="B35" s="414" t="s">
        <v>390</v>
      </c>
      <c r="C35" s="364"/>
      <c r="D35" s="364"/>
      <c r="E35" s="360">
        <f>1800+1800</f>
        <v>3600</v>
      </c>
      <c r="F35" s="360"/>
      <c r="G35" s="360"/>
      <c r="H35" s="360"/>
      <c r="I35" s="360"/>
      <c r="J35" s="360"/>
      <c r="K35" s="352" t="s">
        <v>481</v>
      </c>
      <c r="L35" s="412" t="s">
        <v>470</v>
      </c>
    </row>
    <row r="36" spans="1:12" x14ac:dyDescent="0.4">
      <c r="A36" s="649"/>
      <c r="B36" s="414" t="s">
        <v>390</v>
      </c>
      <c r="C36" s="364"/>
      <c r="D36" s="364"/>
      <c r="E36" s="360"/>
      <c r="F36" s="382">
        <f>O36*N36/9</f>
        <v>0</v>
      </c>
      <c r="G36" s="360"/>
      <c r="H36" s="360"/>
      <c r="I36" s="360"/>
      <c r="J36" s="360"/>
      <c r="K36" s="352" t="s">
        <v>479</v>
      </c>
      <c r="L36" s="412" t="s">
        <v>480</v>
      </c>
    </row>
    <row r="37" spans="1:12" x14ac:dyDescent="0.4">
      <c r="A37" s="648">
        <v>45142</v>
      </c>
      <c r="B37" s="414" t="s">
        <v>390</v>
      </c>
      <c r="C37" s="364"/>
      <c r="D37" s="364"/>
      <c r="E37" s="360">
        <f>1800+1200</f>
        <v>3000</v>
      </c>
      <c r="F37" s="360"/>
      <c r="G37" s="360"/>
      <c r="H37" s="360"/>
      <c r="I37" s="360"/>
      <c r="J37" s="360"/>
      <c r="K37" s="352" t="s">
        <v>482</v>
      </c>
      <c r="L37" s="412" t="s">
        <v>470</v>
      </c>
    </row>
    <row r="38" spans="1:12" x14ac:dyDescent="0.4">
      <c r="A38" s="649"/>
      <c r="B38" s="414" t="s">
        <v>390</v>
      </c>
      <c r="C38" s="364"/>
      <c r="D38" s="364"/>
      <c r="E38" s="360"/>
      <c r="F38" s="382">
        <f>O38*N38/9</f>
        <v>0</v>
      </c>
      <c r="G38" s="360"/>
      <c r="H38" s="360"/>
      <c r="I38" s="360"/>
      <c r="J38" s="360"/>
      <c r="K38" s="352" t="s">
        <v>479</v>
      </c>
      <c r="L38" s="412" t="s">
        <v>480</v>
      </c>
    </row>
    <row r="39" spans="1:12" x14ac:dyDescent="0.4">
      <c r="A39" s="712" t="s">
        <v>17</v>
      </c>
      <c r="B39" s="713"/>
      <c r="C39" s="360">
        <f>SUM(C35:C38)</f>
        <v>0</v>
      </c>
      <c r="D39" s="360">
        <f>SUM(D35:D38)</f>
        <v>0</v>
      </c>
      <c r="E39" s="360">
        <f>SUM(E35:E38)</f>
        <v>6600</v>
      </c>
      <c r="F39" s="360">
        <f>ROUNDDOWN(SUM(F35:F38),0)</f>
        <v>0</v>
      </c>
      <c r="G39" s="360" t="e">
        <f>SUM(#REF!)</f>
        <v>#REF!</v>
      </c>
      <c r="H39" s="360" t="e">
        <f>SUM(#REF!)</f>
        <v>#REF!</v>
      </c>
      <c r="I39" s="360">
        <f>SUM(I35:I38)</f>
        <v>0</v>
      </c>
      <c r="J39" s="360">
        <f>SUM(J35:J38)</f>
        <v>0</v>
      </c>
      <c r="K39" s="352" t="s">
        <v>271</v>
      </c>
      <c r="L39" s="412" t="s">
        <v>473</v>
      </c>
    </row>
    <row r="40" spans="1:12" ht="19.2" x14ac:dyDescent="0.4">
      <c r="A40" s="684" t="s">
        <v>18</v>
      </c>
      <c r="B40" s="685"/>
      <c r="C40" s="674">
        <f>C39+D39+E39+F39+I39+J39</f>
        <v>6600</v>
      </c>
      <c r="D40" s="675"/>
      <c r="E40" s="675"/>
      <c r="F40" s="675"/>
      <c r="G40" s="675"/>
      <c r="H40" s="675"/>
      <c r="I40" s="675"/>
      <c r="J40" s="676"/>
      <c r="K40" s="415"/>
      <c r="L40" s="413"/>
    </row>
    <row r="43" spans="1:12" x14ac:dyDescent="0.4">
      <c r="A43" s="6" t="s">
        <v>0</v>
      </c>
      <c r="B43" s="6" t="s">
        <v>1</v>
      </c>
      <c r="C43" s="6" t="s">
        <v>287</v>
      </c>
      <c r="D43" s="6" t="s">
        <v>74</v>
      </c>
      <c r="E43" s="6" t="s">
        <v>488</v>
      </c>
      <c r="F43" s="6" t="s">
        <v>60</v>
      </c>
      <c r="G43" s="6" t="s">
        <v>8</v>
      </c>
    </row>
    <row r="44" spans="1:12" x14ac:dyDescent="0.4">
      <c r="A44" s="648">
        <v>45173</v>
      </c>
      <c r="B44" s="418" t="s">
        <v>390</v>
      </c>
      <c r="C44" s="364"/>
      <c r="D44" s="360">
        <f>1800+1800</f>
        <v>3600</v>
      </c>
      <c r="E44" s="360"/>
      <c r="F44" s="352" t="s">
        <v>483</v>
      </c>
      <c r="G44" s="416" t="s">
        <v>470</v>
      </c>
    </row>
    <row r="45" spans="1:12" x14ac:dyDescent="0.4">
      <c r="A45" s="649"/>
      <c r="B45" s="418" t="s">
        <v>390</v>
      </c>
      <c r="C45" s="364"/>
      <c r="D45" s="360"/>
      <c r="E45" s="360">
        <v>11536.506666666668</v>
      </c>
      <c r="F45" s="352" t="s">
        <v>383</v>
      </c>
      <c r="G45" s="416" t="s">
        <v>474</v>
      </c>
    </row>
    <row r="46" spans="1:12" x14ac:dyDescent="0.4">
      <c r="A46" s="648">
        <v>45180</v>
      </c>
      <c r="B46" s="418" t="s">
        <v>390</v>
      </c>
      <c r="C46" s="364"/>
      <c r="D46" s="360">
        <f>1800+1600</f>
        <v>3400</v>
      </c>
      <c r="E46" s="360"/>
      <c r="F46" s="352" t="s">
        <v>204</v>
      </c>
      <c r="G46" s="416" t="s">
        <v>470</v>
      </c>
    </row>
    <row r="47" spans="1:12" x14ac:dyDescent="0.4">
      <c r="A47" s="661"/>
      <c r="B47" s="418" t="s">
        <v>390</v>
      </c>
      <c r="C47" s="364">
        <v>7600</v>
      </c>
      <c r="D47" s="360"/>
      <c r="E47" s="360"/>
      <c r="F47" s="352" t="s">
        <v>484</v>
      </c>
      <c r="G47" s="416" t="s">
        <v>296</v>
      </c>
    </row>
    <row r="48" spans="1:12" x14ac:dyDescent="0.4">
      <c r="A48" s="649"/>
      <c r="B48" s="418" t="s">
        <v>390</v>
      </c>
      <c r="C48" s="364"/>
      <c r="D48" s="360"/>
      <c r="E48" s="360">
        <v>11536.506666666668</v>
      </c>
      <c r="F48" s="352" t="s">
        <v>383</v>
      </c>
      <c r="G48" s="416" t="s">
        <v>474</v>
      </c>
    </row>
    <row r="49" spans="1:9" x14ac:dyDescent="0.4">
      <c r="A49" s="648">
        <v>45194</v>
      </c>
      <c r="B49" s="418" t="s">
        <v>390</v>
      </c>
      <c r="C49" s="364"/>
      <c r="D49" s="360">
        <f>1800+1600</f>
        <v>3400</v>
      </c>
      <c r="E49" s="360"/>
      <c r="F49" s="352" t="s">
        <v>204</v>
      </c>
      <c r="G49" s="416" t="s">
        <v>470</v>
      </c>
    </row>
    <row r="50" spans="1:9" x14ac:dyDescent="0.4">
      <c r="A50" s="661"/>
      <c r="B50" s="418" t="s">
        <v>390</v>
      </c>
      <c r="C50" s="364">
        <v>8600</v>
      </c>
      <c r="D50" s="360"/>
      <c r="E50" s="360"/>
      <c r="F50" s="352" t="s">
        <v>486</v>
      </c>
      <c r="G50" s="416" t="s">
        <v>296</v>
      </c>
    </row>
    <row r="51" spans="1:9" x14ac:dyDescent="0.4">
      <c r="A51" s="649"/>
      <c r="B51" s="418" t="s">
        <v>390</v>
      </c>
      <c r="C51" s="364"/>
      <c r="D51" s="360"/>
      <c r="E51" s="360">
        <v>11536.506666666668</v>
      </c>
      <c r="F51" s="352" t="s">
        <v>383</v>
      </c>
      <c r="G51" s="416" t="s">
        <v>474</v>
      </c>
    </row>
    <row r="52" spans="1:9" x14ac:dyDescent="0.4">
      <c r="A52" s="712" t="s">
        <v>17</v>
      </c>
      <c r="B52" s="713"/>
      <c r="C52" s="360">
        <f>SUM(C44:C51)</f>
        <v>16200</v>
      </c>
      <c r="D52" s="360">
        <f>SUM(D44:D51)</f>
        <v>10400</v>
      </c>
      <c r="E52" s="360">
        <v>34609</v>
      </c>
      <c r="F52" s="352" t="s">
        <v>487</v>
      </c>
      <c r="G52" s="416" t="s">
        <v>485</v>
      </c>
    </row>
    <row r="53" spans="1:9" ht="19.2" x14ac:dyDescent="0.4">
      <c r="A53" s="684" t="s">
        <v>18</v>
      </c>
      <c r="B53" s="685"/>
      <c r="C53" s="669">
        <v>61209</v>
      </c>
      <c r="D53" s="670"/>
      <c r="E53" s="671"/>
      <c r="F53" s="419"/>
      <c r="G53" s="417"/>
      <c r="I53" s="1">
        <v>61209</v>
      </c>
    </row>
  </sheetData>
  <mergeCells count="23">
    <mergeCell ref="A37:A38"/>
    <mergeCell ref="A39:B39"/>
    <mergeCell ref="A40:B40"/>
    <mergeCell ref="C40:J40"/>
    <mergeCell ref="C53:E53"/>
    <mergeCell ref="A44:A45"/>
    <mergeCell ref="A46:A48"/>
    <mergeCell ref="A49:A51"/>
    <mergeCell ref="A52:B52"/>
    <mergeCell ref="A53:B53"/>
    <mergeCell ref="A5:A8"/>
    <mergeCell ref="A9:A12"/>
    <mergeCell ref="A13:B13"/>
    <mergeCell ref="A14:B14"/>
    <mergeCell ref="A35:A36"/>
    <mergeCell ref="A32:B32"/>
    <mergeCell ref="A19:B19"/>
    <mergeCell ref="C14:D14"/>
    <mergeCell ref="A23:A25"/>
    <mergeCell ref="A26:A27"/>
    <mergeCell ref="A28:A30"/>
    <mergeCell ref="A31:B31"/>
    <mergeCell ref="A18:B18"/>
  </mergeCells>
  <phoneticPr fontId="2" type="noConversion"/>
  <pageMargins left="0.7" right="0.7" top="0.75" bottom="0.75" header="0.3" footer="0.3"/>
  <pageSetup paperSize="9" orientation="portrait" r:id="rId1"/>
  <ignoredErrors>
    <ignoredError sqref="D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2020-01-27T00:42:32Z</dcterms:created>
  <dcterms:modified xsi:type="dcterms:W3CDTF">2025-11-30T16:49:43Z</dcterms:modified>
</cp:coreProperties>
</file>